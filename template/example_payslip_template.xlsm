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ZOS\KFA\SLIP_PDF\DUMMY\"/>
    </mc:Choice>
  </mc:AlternateContent>
  <xr:revisionPtr revIDLastSave="0" documentId="13_ncr:1_{032AF025-E509-48DE-943D-CFDC906D62F9}" xr6:coauthVersionLast="47" xr6:coauthVersionMax="47" xr10:uidLastSave="{00000000-0000-0000-0000-000000000000}"/>
  <bookViews>
    <workbookView xWindow="-120" yWindow="-120" windowWidth="20730" windowHeight="11760" activeTab="1" xr2:uid="{5230DE8A-1260-4978-8D58-306BB10B90C6}"/>
  </bookViews>
  <sheets>
    <sheet name="BULAN" sheetId="2" r:id="rId1"/>
    <sheet name="PAYSLIP" sheetId="3" r:id="rId2"/>
  </sheets>
  <definedNames>
    <definedName name="_xlnm._FilterDatabase" localSheetId="0" hidden="1">BULAN!$A$5:$DM$220</definedName>
    <definedName name="_xleta.LEFT" hidden="1" xlm="1">#NAME?</definedName>
    <definedName name="_xleta.RIGHT" hidden="1" xlm="1">#NAME?</definedName>
    <definedName name="_xlnm.Print_Area" localSheetId="1">PAYSLIP!$A$1:$J$61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J160" i="2" l="1"/>
  <c r="DJ22" i="2"/>
  <c r="DJ198" i="2"/>
  <c r="DJ150" i="2"/>
  <c r="DJ123" i="2"/>
  <c r="DJ138" i="2"/>
  <c r="DJ200" i="2"/>
  <c r="DJ21" i="2"/>
  <c r="DJ156" i="2"/>
  <c r="DJ45" i="2"/>
  <c r="DJ139" i="2"/>
  <c r="DJ12" i="2"/>
  <c r="DJ176" i="2"/>
  <c r="DJ87" i="2"/>
  <c r="DJ106" i="2"/>
  <c r="DJ7" i="2"/>
  <c r="DJ143" i="2"/>
  <c r="DJ171" i="2"/>
  <c r="DJ141" i="2"/>
  <c r="DJ209" i="2"/>
  <c r="DJ96" i="2"/>
  <c r="DJ28" i="2"/>
  <c r="DJ15" i="2"/>
  <c r="DJ72" i="2"/>
  <c r="DJ9" i="2"/>
  <c r="DJ121" i="2"/>
  <c r="DJ177" i="2"/>
  <c r="DJ102" i="2"/>
  <c r="DJ165" i="2"/>
  <c r="DJ20" i="2"/>
  <c r="DJ135" i="2"/>
  <c r="DJ196" i="2"/>
  <c r="DJ82" i="2"/>
  <c r="DJ94" i="2"/>
  <c r="DJ88" i="2"/>
  <c r="DJ172" i="2"/>
  <c r="DJ100" i="2"/>
  <c r="DJ68" i="2"/>
  <c r="DJ131" i="2"/>
  <c r="DJ13" i="2"/>
  <c r="DJ112" i="2"/>
  <c r="DJ101" i="2"/>
  <c r="DJ195" i="2"/>
  <c r="DJ124" i="2"/>
  <c r="DJ99" i="2"/>
  <c r="DJ86" i="2"/>
  <c r="DJ93" i="2"/>
  <c r="DJ216" i="2"/>
  <c r="DJ132" i="2"/>
  <c r="DJ104" i="2"/>
  <c r="DJ115" i="2"/>
  <c r="DJ168" i="2"/>
  <c r="DJ212" i="2"/>
  <c r="DJ54" i="2"/>
  <c r="DJ31" i="2"/>
  <c r="DJ42" i="2"/>
  <c r="DJ125" i="2"/>
  <c r="DJ126" i="2"/>
  <c r="DJ193" i="2"/>
  <c r="DJ158" i="2"/>
  <c r="DJ188" i="2"/>
  <c r="DJ213" i="2"/>
  <c r="DJ46" i="2"/>
  <c r="DJ95" i="2"/>
  <c r="DJ80" i="2"/>
  <c r="DJ75" i="2"/>
  <c r="DJ146" i="2"/>
  <c r="DJ32" i="2"/>
  <c r="DJ64" i="2"/>
  <c r="DJ202" i="2"/>
  <c r="DJ214" i="2"/>
  <c r="DJ69" i="2"/>
  <c r="DJ190" i="2"/>
  <c r="DJ134" i="2"/>
  <c r="DJ91" i="2"/>
  <c r="DJ189" i="2"/>
  <c r="DJ194" i="2"/>
  <c r="DJ155" i="2"/>
  <c r="DJ128" i="2"/>
  <c r="DJ218" i="2"/>
  <c r="DJ174" i="2"/>
  <c r="DJ186" i="2"/>
  <c r="DJ97" i="2"/>
  <c r="DJ37" i="2"/>
  <c r="DJ78" i="2"/>
  <c r="DJ205" i="2"/>
  <c r="DJ53" i="2"/>
  <c r="DJ147" i="2"/>
  <c r="DJ206" i="2"/>
  <c r="DJ208" i="2"/>
  <c r="DJ79" i="2"/>
  <c r="DJ192" i="2"/>
  <c r="DJ61" i="2"/>
  <c r="DJ130" i="2"/>
  <c r="DJ117" i="2"/>
  <c r="DJ210" i="2"/>
  <c r="DJ35" i="2"/>
  <c r="DJ119" i="2"/>
  <c r="DJ164" i="2"/>
  <c r="DJ162" i="2"/>
  <c r="DJ27" i="2"/>
  <c r="DJ217" i="2"/>
  <c r="DJ33" i="2"/>
  <c r="DJ184" i="2"/>
  <c r="DJ191" i="2"/>
  <c r="DJ111" i="2"/>
  <c r="DJ153" i="2"/>
  <c r="DJ92" i="2"/>
  <c r="DJ58" i="2"/>
  <c r="DJ110" i="2"/>
  <c r="DJ179" i="2"/>
  <c r="DJ152" i="2"/>
  <c r="DJ137" i="2"/>
  <c r="DJ56" i="2"/>
  <c r="DJ114" i="2"/>
  <c r="DJ148" i="2"/>
  <c r="DJ169" i="2"/>
  <c r="DJ8" i="2"/>
  <c r="DJ50" i="2"/>
  <c r="DJ161" i="2"/>
  <c r="DJ19" i="2"/>
  <c r="DJ105" i="2"/>
  <c r="DJ52" i="2"/>
  <c r="DJ219" i="2"/>
  <c r="DJ207" i="2"/>
  <c r="DJ163" i="2"/>
  <c r="DJ116" i="2"/>
  <c r="DJ63" i="2"/>
  <c r="DJ170" i="2"/>
  <c r="DJ74" i="2"/>
  <c r="DJ60" i="2"/>
  <c r="DJ26" i="2"/>
  <c r="DJ151" i="2"/>
  <c r="DJ41" i="2"/>
  <c r="DJ39" i="2"/>
  <c r="DJ181" i="2"/>
  <c r="DJ77" i="2"/>
  <c r="DJ11" i="2"/>
  <c r="DJ157" i="2"/>
  <c r="DJ98" i="2"/>
  <c r="DJ29" i="2"/>
  <c r="DJ10" i="2"/>
  <c r="DJ81" i="2"/>
  <c r="DJ59" i="2"/>
  <c r="DJ6" i="2"/>
  <c r="DJ67" i="2"/>
  <c r="DJ85" i="2"/>
  <c r="DJ182" i="2"/>
  <c r="DJ185" i="2"/>
  <c r="DJ133" i="2"/>
  <c r="DJ118" i="2"/>
  <c r="DJ199" i="2"/>
  <c r="DJ66" i="2"/>
  <c r="DJ44" i="2"/>
  <c r="DJ14" i="2"/>
  <c r="DJ203" i="2"/>
  <c r="DJ51" i="2"/>
  <c r="DJ136" i="2"/>
  <c r="DJ127" i="2"/>
  <c r="DJ175" i="2"/>
  <c r="DJ120" i="2"/>
  <c r="DJ113" i="2"/>
  <c r="DJ90" i="2"/>
  <c r="DJ62" i="2"/>
  <c r="DJ34" i="2"/>
  <c r="DJ30" i="2"/>
  <c r="DJ220" i="2"/>
  <c r="DJ215" i="2"/>
  <c r="DJ211" i="2"/>
  <c r="DJ204" i="2"/>
  <c r="DJ154" i="2"/>
  <c r="DJ103" i="2"/>
  <c r="DJ73" i="2"/>
  <c r="DJ201" i="2"/>
  <c r="DJ183" i="2"/>
  <c r="DJ197" i="2"/>
  <c r="DJ47" i="2"/>
  <c r="DJ83" i="2"/>
  <c r="DJ40" i="2"/>
  <c r="DJ57" i="2"/>
  <c r="DJ89" i="2"/>
  <c r="DJ144" i="2"/>
  <c r="DJ70" i="2"/>
  <c r="DJ65" i="2"/>
  <c r="DJ107" i="2"/>
  <c r="DJ43" i="2"/>
  <c r="DJ159" i="2"/>
  <c r="DJ25" i="2"/>
  <c r="DJ166" i="2"/>
  <c r="DJ71" i="2"/>
  <c r="DJ178" i="2"/>
  <c r="DJ149" i="2"/>
  <c r="DJ167" i="2"/>
  <c r="DJ145" i="2"/>
  <c r="DJ49" i="2"/>
  <c r="DJ108" i="2"/>
  <c r="DJ187" i="2"/>
  <c r="DJ48" i="2"/>
  <c r="DJ36" i="2"/>
  <c r="DJ142" i="2"/>
  <c r="DJ173" i="2"/>
  <c r="DJ55" i="2"/>
  <c r="DJ109" i="2"/>
  <c r="DJ38" i="2"/>
  <c r="DJ180" i="2"/>
  <c r="DJ129" i="2"/>
  <c r="DJ24" i="2"/>
  <c r="DJ17" i="2"/>
  <c r="DJ16" i="2"/>
  <c r="DJ23" i="2"/>
  <c r="DJ84" i="2"/>
  <c r="DJ122" i="2"/>
  <c r="DJ18" i="2"/>
  <c r="DJ76" i="2"/>
  <c r="DJ140" i="2"/>
  <c r="B1" i="2"/>
  <c r="L2" i="3" s="1"/>
  <c r="B16" i="3"/>
  <c r="A16" i="3"/>
  <c r="A10" i="2"/>
  <c r="A141" i="2"/>
  <c r="A197" i="2"/>
  <c r="A15" i="2"/>
  <c r="A13" i="2"/>
  <c r="A130" i="2"/>
  <c r="A176" i="2"/>
  <c r="A187" i="2"/>
  <c r="A217" i="2"/>
  <c r="A131" i="2"/>
  <c r="A18" i="2"/>
  <c r="A76" i="2"/>
  <c r="A182" i="2"/>
  <c r="A193" i="2"/>
  <c r="A31" i="2"/>
  <c r="A58" i="2"/>
  <c r="A159" i="2"/>
  <c r="A57" i="2"/>
  <c r="A149" i="2"/>
  <c r="A144" i="2"/>
  <c r="A101" i="2"/>
  <c r="A125" i="2"/>
  <c r="A107" i="2"/>
  <c r="A7" i="2"/>
  <c r="A20" i="2"/>
  <c r="A135" i="2"/>
  <c r="A178" i="2"/>
  <c r="A74" i="2"/>
  <c r="A72" i="2"/>
  <c r="A26" i="2"/>
  <c r="A115" i="2"/>
  <c r="A50" i="2"/>
  <c r="A200" i="2"/>
  <c r="A191" i="2"/>
  <c r="A212" i="2"/>
  <c r="A174" i="2"/>
  <c r="A180" i="2"/>
  <c r="A170" i="2"/>
  <c r="A120" i="2"/>
  <c r="A38" i="2"/>
  <c r="A188" i="2"/>
  <c r="A199" i="2"/>
  <c r="A210" i="2"/>
  <c r="A6" i="2"/>
  <c r="A186" i="2"/>
  <c r="A60" i="2"/>
  <c r="A172" i="2"/>
  <c r="A121" i="2"/>
  <c r="A116" i="2"/>
  <c r="A157" i="2"/>
  <c r="A205" i="2"/>
  <c r="A91" i="2"/>
  <c r="A67" i="2"/>
  <c r="A169" i="2"/>
  <c r="A27" i="2"/>
  <c r="A14" i="2"/>
  <c r="A23" i="2"/>
  <c r="A94" i="2"/>
  <c r="A118" i="2"/>
  <c r="A214" i="2"/>
  <c r="A208" i="2"/>
  <c r="A164" i="2"/>
  <c r="A29" i="2"/>
  <c r="A100" i="2"/>
  <c r="A150" i="2"/>
  <c r="A90" i="2"/>
  <c r="A119" i="2"/>
  <c r="A48" i="2"/>
  <c r="A75" i="2"/>
  <c r="A123" i="2"/>
  <c r="A54" i="2"/>
  <c r="A173" i="2"/>
  <c r="A32" i="2"/>
  <c r="A33" i="2"/>
  <c r="A160" i="2"/>
  <c r="A22" i="2"/>
  <c r="A139" i="2"/>
  <c r="A40" i="2"/>
  <c r="A143" i="2"/>
  <c r="A132" i="2"/>
  <c r="A154" i="2"/>
  <c r="A218" i="2"/>
  <c r="A55" i="2"/>
  <c r="A211" i="2"/>
  <c r="A171" i="2"/>
  <c r="A142" i="2"/>
  <c r="A168" i="2"/>
  <c r="A148" i="2"/>
  <c r="A68" i="2"/>
  <c r="A128" i="2"/>
  <c r="A137" i="2"/>
  <c r="A103" i="2"/>
  <c r="A124" i="2"/>
  <c r="A87" i="2"/>
  <c r="A93" i="2"/>
  <c r="A209" i="2"/>
  <c r="A196" i="2"/>
  <c r="A61" i="2"/>
  <c r="A25" i="2"/>
  <c r="A215" i="2"/>
  <c r="A88" i="2"/>
  <c r="A44" i="2"/>
  <c r="A220" i="2"/>
  <c r="A49" i="2"/>
  <c r="A99" i="2"/>
  <c r="A69" i="2"/>
  <c r="A190" i="2"/>
  <c r="A84" i="2"/>
  <c r="A8" i="2"/>
  <c r="A145" i="2"/>
  <c r="A9" i="2"/>
  <c r="A140" i="2"/>
  <c r="A92" i="2"/>
  <c r="A156" i="2"/>
  <c r="A85" i="2"/>
  <c r="A122" i="2"/>
  <c r="A108" i="2"/>
  <c r="A185" i="2"/>
  <c r="A19" i="2"/>
  <c r="A39" i="2"/>
  <c r="A110" i="2"/>
  <c r="A16" i="2"/>
  <c r="A138" i="2"/>
  <c r="A11" i="2"/>
  <c r="A161" i="2"/>
  <c r="A166" i="2"/>
  <c r="A37" i="2"/>
  <c r="A126" i="2"/>
  <c r="A56" i="2"/>
  <c r="A34" i="2"/>
  <c r="A83" i="2"/>
  <c r="A52" i="2"/>
  <c r="A206" i="2"/>
  <c r="A136" i="2"/>
  <c r="A46" i="2"/>
  <c r="A89" i="2"/>
  <c r="A117" i="2"/>
  <c r="A30" i="2"/>
  <c r="A97" i="2"/>
  <c r="A192" i="2"/>
  <c r="A51" i="2"/>
  <c r="A77" i="2"/>
  <c r="A133" i="2"/>
  <c r="A104" i="2"/>
  <c r="A78" i="2"/>
  <c r="A147" i="2"/>
  <c r="A165" i="2"/>
  <c r="A195" i="2"/>
  <c r="A59" i="2"/>
  <c r="A163" i="2"/>
  <c r="A82" i="2"/>
  <c r="A198" i="2"/>
  <c r="A17" i="2"/>
  <c r="A153" i="2"/>
  <c r="A96" i="2"/>
  <c r="A194" i="2"/>
  <c r="A62" i="2"/>
  <c r="A21" i="2"/>
  <c r="A158" i="2"/>
  <c r="A73" i="2"/>
  <c r="A155" i="2"/>
  <c r="A43" i="2"/>
  <c r="A129" i="2"/>
  <c r="A109" i="2"/>
  <c r="A114" i="2"/>
  <c r="A175" i="2"/>
  <c r="A35" i="2"/>
  <c r="A201" i="2"/>
  <c r="A64" i="2"/>
  <c r="A179" i="2"/>
  <c r="A86" i="2"/>
  <c r="A45" i="2"/>
  <c r="A134" i="2"/>
  <c r="A111" i="2"/>
  <c r="A127" i="2"/>
  <c r="A63" i="2"/>
  <c r="A70" i="2"/>
  <c r="A177" i="2"/>
  <c r="A207" i="2"/>
  <c r="A105" i="2"/>
  <c r="A80" i="2"/>
  <c r="A41" i="2"/>
  <c r="A36" i="2"/>
  <c r="A202" i="2"/>
  <c r="A184" i="2"/>
  <c r="A216" i="2"/>
  <c r="A151" i="2"/>
  <c r="A12" i="2"/>
  <c r="A65" i="2"/>
  <c r="A71" i="2"/>
  <c r="A189" i="2"/>
  <c r="A219" i="2"/>
  <c r="A181" i="2"/>
  <c r="A183" i="2"/>
  <c r="A24" i="2"/>
  <c r="A112" i="2"/>
  <c r="A98" i="2"/>
  <c r="A66" i="2"/>
  <c r="A113" i="2"/>
  <c r="A152" i="2"/>
  <c r="A167" i="2"/>
  <c r="A42" i="2"/>
  <c r="A47" i="2"/>
  <c r="A95" i="2"/>
  <c r="A162" i="2"/>
  <c r="A203" i="2"/>
  <c r="A53" i="2"/>
  <c r="A102" i="2"/>
  <c r="A106" i="2"/>
  <c r="A213" i="2"/>
  <c r="A79" i="2"/>
  <c r="A28" i="2"/>
  <c r="A204" i="2"/>
  <c r="A146" i="2"/>
  <c r="A81" i="2"/>
  <c r="J52" i="3" l="1"/>
  <c r="J47" i="3"/>
  <c r="J11" i="3"/>
  <c r="D25" i="3"/>
  <c r="D31" i="3"/>
  <c r="D37" i="3"/>
  <c r="J49" i="3"/>
  <c r="L5" i="3"/>
  <c r="D16" i="3" s="1"/>
  <c r="J13" i="3"/>
  <c r="J21" i="3"/>
  <c r="J23" i="3"/>
  <c r="J25" i="3"/>
  <c r="J27" i="3"/>
  <c r="J29" i="3"/>
  <c r="J31" i="3"/>
  <c r="J33" i="3"/>
  <c r="J35" i="3"/>
  <c r="J37" i="3"/>
  <c r="J39" i="3"/>
  <c r="J41" i="3"/>
  <c r="D45" i="3"/>
  <c r="D48" i="3"/>
  <c r="J50" i="3"/>
  <c r="J54" i="3"/>
  <c r="D21" i="3"/>
  <c r="D27" i="3"/>
  <c r="D33" i="3"/>
  <c r="D39" i="3"/>
  <c r="D44" i="3"/>
  <c r="J53" i="3"/>
  <c r="L6" i="3"/>
  <c r="D22" i="3"/>
  <c r="D24" i="3"/>
  <c r="D26" i="3"/>
  <c r="D28" i="3"/>
  <c r="D30" i="3"/>
  <c r="D32" i="3"/>
  <c r="D34" i="3"/>
  <c r="D36" i="3"/>
  <c r="D38" i="3"/>
  <c r="D40" i="3"/>
  <c r="D42" i="3"/>
  <c r="D46" i="3"/>
  <c r="J48" i="3"/>
  <c r="J51" i="3"/>
  <c r="J55" i="3"/>
  <c r="L3" i="3"/>
  <c r="D23" i="3"/>
  <c r="D29" i="3"/>
  <c r="D35" i="3"/>
  <c r="D41" i="3"/>
  <c r="J10" i="3"/>
  <c r="J22" i="3"/>
  <c r="J24" i="3"/>
  <c r="J26" i="3"/>
  <c r="J28" i="3"/>
  <c r="J30" i="3"/>
  <c r="J32" i="3"/>
  <c r="J34" i="3"/>
  <c r="J36" i="3"/>
  <c r="J38" i="3"/>
  <c r="J40" i="3"/>
  <c r="D43" i="3"/>
  <c r="D47" i="3"/>
  <c r="D49" i="3"/>
  <c r="J42" i="3" l="1"/>
  <c r="D50" i="3"/>
  <c r="F58" i="3" l="1"/>
  <c r="A60" i="3" s="1"/>
</calcChain>
</file>

<file path=xl/sharedStrings.xml><?xml version="1.0" encoding="utf-8"?>
<sst xmlns="http://schemas.openxmlformats.org/spreadsheetml/2006/main" count="2972" uniqueCount="870">
  <si>
    <t>Pers.No</t>
  </si>
  <si>
    <t>Old Pers.No</t>
  </si>
  <si>
    <t>Name</t>
  </si>
  <si>
    <t>Payroll Area</t>
  </si>
  <si>
    <t>Pers.Area Desc.</t>
  </si>
  <si>
    <t>Pers.Area</t>
  </si>
  <si>
    <t>Pers.Sub Area Desc.</t>
  </si>
  <si>
    <t>Cost Center</t>
  </si>
  <si>
    <t>Cost Center Text</t>
  </si>
  <si>
    <t>Emp.Group</t>
  </si>
  <si>
    <t>Emp.Group Desc.</t>
  </si>
  <si>
    <t>101X: GAJI DASAR 1 + RAPEL</t>
  </si>
  <si>
    <t>102X: GAJI DASAR 2 + RAPEL</t>
  </si>
  <si>
    <t>1030: GAJI DIREKSI</t>
  </si>
  <si>
    <t>1040: GAJI KOMISARIS</t>
  </si>
  <si>
    <t>1050: HONORARIUM</t>
  </si>
  <si>
    <t>UANG SAKU</t>
  </si>
  <si>
    <t>1100: TUNJ. JABATAN / ESELON</t>
  </si>
  <si>
    <t>1110: TUNJ. PELAKSANA</t>
  </si>
  <si>
    <t>1140: TUNJ. DAERAH</t>
  </si>
  <si>
    <t>1120: TUNJ. IURAN PASTI/DPLK</t>
  </si>
  <si>
    <t>1130: TUNJ. KHUSUS</t>
  </si>
  <si>
    <t>2000: TUNJ. GRADING</t>
  </si>
  <si>
    <t>2100 : TUNJANGAN KOMUNIKASI</t>
  </si>
  <si>
    <t>2011: TUNJ. BBM KFA/KFTD</t>
  </si>
  <si>
    <t>2012: TUNJ. BBM KFD</t>
  </si>
  <si>
    <t>2020: TUNJ. KENDARAAN</t>
  </si>
  <si>
    <t>2760: FASILITAS KOMISARIS</t>
  </si>
  <si>
    <t>3000: LEMBUR TOTAL</t>
  </si>
  <si>
    <t>2560: T. KHUSUS KFA</t>
  </si>
  <si>
    <t>2030: TUNJ. RANGKAP JABATAN</t>
  </si>
  <si>
    <t>2500: TUNJ. PAKAIAN DINAS</t>
  </si>
  <si>
    <t>2510: TUNJ. KESEJAHTERAAN</t>
  </si>
  <si>
    <t>2570: TUNJ. SEWA RUMAH</t>
  </si>
  <si>
    <t>2730: TUNJ. DIREKSI</t>
  </si>
  <si>
    <t>2720: TUNJ. KINERJA</t>
  </si>
  <si>
    <t>2740: FASILITAS DIREKSI</t>
  </si>
  <si>
    <t>2750: TUNJ. KOMISARIS</t>
  </si>
  <si>
    <t>4140: TUNJ. KINERJA</t>
  </si>
  <si>
    <t>2580 : T. LAIN - LAIN</t>
  </si>
  <si>
    <t>4165 : U.JASA PELAYANAN(GI.BS)</t>
  </si>
  <si>
    <t>4000: THR</t>
  </si>
  <si>
    <t>4010: SUMBANGAN CUTI PANJANG</t>
  </si>
  <si>
    <t>6080 : IURAN PENSIUN (SUMBANGAN)</t>
  </si>
  <si>
    <t>4020: SUMBANGAN CUTI TAHUNAN</t>
  </si>
  <si>
    <t>4320 : TUNJ. PAKAIAN DINAS</t>
  </si>
  <si>
    <t>4030 : KOMPONEN CUTI PANJANG</t>
  </si>
  <si>
    <t>4100: INSENTIF PRESTASI</t>
  </si>
  <si>
    <t>4120: INSENTIF SUPPORTING</t>
  </si>
  <si>
    <t>4110: INSENTIF TAHUNAN</t>
  </si>
  <si>
    <t>5400 : INSENTIF PAJAK PMK23/2020</t>
  </si>
  <si>
    <t>6405 : POT. ADJ. DPLK/JKDK</t>
  </si>
  <si>
    <t>5000: BANTUAN SEWA RUMAH</t>
  </si>
  <si>
    <t>5500: UANG MUKA PESANGON</t>
  </si>
  <si>
    <t>4500: PESANGON</t>
  </si>
  <si>
    <t>5010: BANTUAN SEWA KENDARAAN</t>
  </si>
  <si>
    <t>3050: EXTRA FOODING (TOTAL)</t>
  </si>
  <si>
    <t>2540: INS. PROD/PENELITIAN</t>
  </si>
  <si>
    <t>5020: SUMBANGAN PINDAH</t>
  </si>
  <si>
    <t>9124 :T. PAJAK</t>
  </si>
  <si>
    <t>6900: POT. LAIN-LAIN</t>
  </si>
  <si>
    <t>6400: POT. IURAN PASTI</t>
  </si>
  <si>
    <t>6500: POT. WAJIB KOPERASI</t>
  </si>
  <si>
    <t>6510: POT. IURAN SP</t>
  </si>
  <si>
    <t>6610: POT. KEMATIAN</t>
  </si>
  <si>
    <t>6520: POT. UANG MAKAN</t>
  </si>
  <si>
    <t>6530: POT. PAKAIAN DINAS</t>
  </si>
  <si>
    <t>6540: POT. PINJAMAN KOPERASI</t>
  </si>
  <si>
    <t>6550: POT. BAZIS</t>
  </si>
  <si>
    <t>6560: POT. AMBULAN</t>
  </si>
  <si>
    <t>6570: POT. DINAS</t>
  </si>
  <si>
    <t>6580: POT. PINJAMAN KENDARAAN</t>
  </si>
  <si>
    <t>6590: POT. YKKKF PRIBADI</t>
  </si>
  <si>
    <t>6600: POT. PINJAMAN MUTASI</t>
  </si>
  <si>
    <t>6620: POT. KETERLAMBATAN</t>
  </si>
  <si>
    <t>6250: PANJAR POT. JKDK KARYAWAN</t>
  </si>
  <si>
    <t>6630: PINJAMAN KARYAWAN</t>
  </si>
  <si>
    <t>6700: POT. BANK MANDIRI</t>
  </si>
  <si>
    <t>6701: POT. BANK BRI</t>
  </si>
  <si>
    <t>6702: POT. BANK BTN</t>
  </si>
  <si>
    <t>6703: POT. BANK DANAMON</t>
  </si>
  <si>
    <t>6704: POT. BANK DKI</t>
  </si>
  <si>
    <t>6705: POT. BANK BJB</t>
  </si>
  <si>
    <t>6750: POT. ADMINISTRASI BANK MA</t>
  </si>
  <si>
    <t>6751: POT. ADMINISTRASI BANK BR</t>
  </si>
  <si>
    <t>6755: POT. ADMINISTRASI BANK BJ</t>
  </si>
  <si>
    <t>70RP: ANGSURAN PINJAMAN</t>
  </si>
  <si>
    <t>607R: DPLK MANDIRI PERUSAHAAN</t>
  </si>
  <si>
    <t>/424: TOTAL PAJAK</t>
  </si>
  <si>
    <t>/3E2: BPJS JHT KARYAWAN</t>
  </si>
  <si>
    <t>/3E6: BPJS KESEHATAN KARYAWAN</t>
  </si>
  <si>
    <t>/3E8: EE BPJS PENS CONTRB.</t>
  </si>
  <si>
    <t>601E: JKK+JKM KRYW PROFESIONAL</t>
  </si>
  <si>
    <t>602E: YKKKF KARYAWAN</t>
  </si>
  <si>
    <t>603E: JKDK KARYAWAN</t>
  </si>
  <si>
    <t>604E: DAPEN KARYAWAN</t>
  </si>
  <si>
    <t>605E: DPLK BNI KARYAWAN</t>
  </si>
  <si>
    <t>606E: DPLK BRI KARYAWAN</t>
  </si>
  <si>
    <t>/3R3: BPJS JKM PERUSAHAAN</t>
  </si>
  <si>
    <t>/3R1: BPJS JKK PERUSAHAAN</t>
  </si>
  <si>
    <t>/3R2: ER JAMSOSTEK PENS CONTRB.</t>
  </si>
  <si>
    <t>/3R8: BPJS JP PERUSAHAAN</t>
  </si>
  <si>
    <t>/3R6: BPJS KESEHATAN PERUSAHAAN</t>
  </si>
  <si>
    <t>601R: JKK+JKM PRSH PROFESIONAL</t>
  </si>
  <si>
    <t>602R: YKKKF PERUSAHAAN</t>
  </si>
  <si>
    <t>604R: DAPEN PERUSAHAAN</t>
  </si>
  <si>
    <t>603R: JKDK PERUSAHAAN</t>
  </si>
  <si>
    <t>605R: DPLK BNI PERUSAHAAN</t>
  </si>
  <si>
    <t>606R: DPLK BRI PERUSAHAAN</t>
  </si>
  <si>
    <t>4330 : T. KESEJAHTERAAN (IRR)</t>
  </si>
  <si>
    <t>/559: BANK TRANSFER</t>
  </si>
  <si>
    <t>NOMOR REKENING</t>
  </si>
  <si>
    <t>NAMA NASABAH</t>
  </si>
  <si>
    <t>BANK</t>
  </si>
  <si>
    <t>alamat email</t>
  </si>
  <si>
    <t>HP</t>
  </si>
  <si>
    <t>SAP</t>
  </si>
  <si>
    <t>1</t>
  </si>
  <si>
    <t>PKWTT</t>
  </si>
  <si>
    <t>2</t>
  </si>
  <si>
    <t>PKWT</t>
  </si>
  <si>
    <t/>
  </si>
  <si>
    <t>NON SAP</t>
  </si>
  <si>
    <t>MAGANG</t>
  </si>
  <si>
    <t>NON SAP NON AKTIF</t>
  </si>
  <si>
    <t>PKWTT (NON AKTIF)</t>
  </si>
  <si>
    <t>Nama</t>
  </si>
  <si>
    <t>Jumlah Pegawai</t>
  </si>
  <si>
    <t>Email</t>
  </si>
  <si>
    <t xml:space="preserve">DETAIL SLIP GAJI PEGAWAI </t>
  </si>
  <si>
    <t>Kode ID</t>
  </si>
  <si>
    <t>No. Rek</t>
  </si>
  <si>
    <t>Jabatan : Asman Operation Inventory</t>
  </si>
  <si>
    <t>Gaji Bulan</t>
  </si>
  <si>
    <t>Tanggal Cetak Slip Gaji</t>
  </si>
  <si>
    <t>No. Dokumen</t>
  </si>
  <si>
    <t>A. PENDAPATAN</t>
  </si>
  <si>
    <t>B. POTONGAN</t>
  </si>
  <si>
    <t>KOMPONEN</t>
  </si>
  <si>
    <t>NOMINAL (Rp)</t>
  </si>
  <si>
    <t>Rp.</t>
  </si>
  <si>
    <t>Subtotal</t>
  </si>
  <si>
    <r>
      <t>C. BANTUAN PERUSAHAAN</t>
    </r>
    <r>
      <rPr>
        <b/>
        <sz val="8"/>
        <rFont val="Arial"/>
        <family val="2"/>
      </rPr>
      <t xml:space="preserve"> ( </t>
    </r>
    <r>
      <rPr>
        <b/>
        <i/>
        <sz val="8"/>
        <rFont val="Arial"/>
        <family val="2"/>
      </rPr>
      <t>Bersifat</t>
    </r>
    <r>
      <rPr>
        <b/>
        <sz val="8"/>
        <rFont val="Arial"/>
        <family val="2"/>
      </rPr>
      <t xml:space="preserve"> </t>
    </r>
    <r>
      <rPr>
        <b/>
        <i/>
        <sz val="8"/>
        <rFont val="Arial"/>
        <family val="2"/>
      </rPr>
      <t xml:space="preserve">Informasi </t>
    </r>
    <r>
      <rPr>
        <b/>
        <sz val="8"/>
        <rFont val="Arial"/>
        <family val="2"/>
      </rPr>
      <t>)</t>
    </r>
  </si>
  <si>
    <t>Total</t>
  </si>
  <si>
    <t>Jumlah Data</t>
  </si>
  <si>
    <t>BETTY ALLEN</t>
  </si>
  <si>
    <t>JOHN JONES</t>
  </si>
  <si>
    <t>ASHLEY HILL</t>
  </si>
  <si>
    <t>ROBERT MITCHELL</t>
  </si>
  <si>
    <t>ROBERT ADAMS</t>
  </si>
  <si>
    <t>NANCY SANCHEZ</t>
  </si>
  <si>
    <t>JENNIFER RAMIREZ</t>
  </si>
  <si>
    <t>DEBORAH GONZALEZ</t>
  </si>
  <si>
    <t>JENNIFER TORRES</t>
  </si>
  <si>
    <t>MICHAEL TORRES</t>
  </si>
  <si>
    <t>BRIAN MOORE</t>
  </si>
  <si>
    <t>MARY ADAMS</t>
  </si>
  <si>
    <t>RICHARD SANCHEZ</t>
  </si>
  <si>
    <t>ANTHONY YOUNG</t>
  </si>
  <si>
    <t>BRIAN RIVERA</t>
  </si>
  <si>
    <t>JOHN LOPEZ</t>
  </si>
  <si>
    <t>PAUL KING</t>
  </si>
  <si>
    <t>MARK SMITH</t>
  </si>
  <si>
    <t>MICHAEL MARTINEZ</t>
  </si>
  <si>
    <t>MICHAEL YOUNG</t>
  </si>
  <si>
    <t>ROBERT HALL</t>
  </si>
  <si>
    <t>LISA CARTER</t>
  </si>
  <si>
    <t>JOHN MARTIN</t>
  </si>
  <si>
    <t>GEORGE CLARK</t>
  </si>
  <si>
    <t>MARK WILLIAMS</t>
  </si>
  <si>
    <t>DAVID LEE</t>
  </si>
  <si>
    <t>JAMES MILLER</t>
  </si>
  <si>
    <t>CHARLES SMITH</t>
  </si>
  <si>
    <t>JESSICA HALL</t>
  </si>
  <si>
    <t>DONNA BROWN</t>
  </si>
  <si>
    <t>ASHLEY WILLIAMS</t>
  </si>
  <si>
    <t>THOMAS WALKER</t>
  </si>
  <si>
    <t>SUSAN ROBERTS</t>
  </si>
  <si>
    <t>ANDREW THOMAS</t>
  </si>
  <si>
    <t>ASHLEY TORRES</t>
  </si>
  <si>
    <t>GEORGE WHITE</t>
  </si>
  <si>
    <t>JOSEPH PEREZ</t>
  </si>
  <si>
    <t>DONNA FLORES</t>
  </si>
  <si>
    <t>JENNIFER RIVERA</t>
  </si>
  <si>
    <t>ROBERT ANDERSON</t>
  </si>
  <si>
    <t>ROBERT WILLIAMS</t>
  </si>
  <si>
    <t>MARY JACKSON</t>
  </si>
  <si>
    <t>EMILY NGUYEN</t>
  </si>
  <si>
    <t>BARBARA JOHNSON</t>
  </si>
  <si>
    <t>STEVEN LOPEZ</t>
  </si>
  <si>
    <t>WILLIAM TORRES</t>
  </si>
  <si>
    <t>DONNA TAYLOR</t>
  </si>
  <si>
    <t>SARAH ALLEN</t>
  </si>
  <si>
    <t>LISA ALLEN</t>
  </si>
  <si>
    <t>STEVEN RAMIREZ</t>
  </si>
  <si>
    <t>ROBERT JONES</t>
  </si>
  <si>
    <t>MARGARET YOUNG</t>
  </si>
  <si>
    <t>ASHLEY JONES</t>
  </si>
  <si>
    <t>NANCY HILL</t>
  </si>
  <si>
    <t>DAVID HALL</t>
  </si>
  <si>
    <t>JESSICA JONES</t>
  </si>
  <si>
    <t>GEORGE FLORES</t>
  </si>
  <si>
    <t>MICHELLE RIVERA</t>
  </si>
  <si>
    <t>NANCY ANDERSON</t>
  </si>
  <si>
    <t>DEBORAH RIVERA</t>
  </si>
  <si>
    <t>MARY ANDERSON</t>
  </si>
  <si>
    <t>MICHAEL ANDERSON</t>
  </si>
  <si>
    <t>LINDA LOPEZ</t>
  </si>
  <si>
    <t>PAUL SANCHEZ</t>
  </si>
  <si>
    <t>CAROL RODRIGUEZ</t>
  </si>
  <si>
    <t>BRIAN NGUYEN</t>
  </si>
  <si>
    <t>MICHELLE DAVIS</t>
  </si>
  <si>
    <t>DONNA NELSON</t>
  </si>
  <si>
    <t>MARY SMITH</t>
  </si>
  <si>
    <t>KENNETH WHITE</t>
  </si>
  <si>
    <t>MATTHEW HILL</t>
  </si>
  <si>
    <t>GEORGE THOMPSON</t>
  </si>
  <si>
    <t>EMILY MITCHELL</t>
  </si>
  <si>
    <t>KAREN THOMPSON</t>
  </si>
  <si>
    <t>THOMAS NELSON</t>
  </si>
  <si>
    <t>CHARLES KING</t>
  </si>
  <si>
    <t>MICHAEL LEWIS</t>
  </si>
  <si>
    <t>SANDRA THOMAS</t>
  </si>
  <si>
    <t>EMILY RODRIGUEZ</t>
  </si>
  <si>
    <t>ANTHONY NGUYEN</t>
  </si>
  <si>
    <t>MARY WRIGHT</t>
  </si>
  <si>
    <t>JOSHUA ALLEN</t>
  </si>
  <si>
    <t>JOHN THOMAS</t>
  </si>
  <si>
    <t>DOROTHY ALLEN</t>
  </si>
  <si>
    <t>JESSICA KING</t>
  </si>
  <si>
    <t>JAMES CAMPBELL</t>
  </si>
  <si>
    <t>JOHN RAMIREZ</t>
  </si>
  <si>
    <t>MICHAEL CLARK</t>
  </si>
  <si>
    <t>ANDREW PEREZ</t>
  </si>
  <si>
    <t>RICHARD GONZALEZ</t>
  </si>
  <si>
    <t>ANTHONY GREEN</t>
  </si>
  <si>
    <t>CAROL RAMIREZ</t>
  </si>
  <si>
    <t>JESSICA JACKSON</t>
  </si>
  <si>
    <t>MARY HILL</t>
  </si>
  <si>
    <t>ROBERT BAKER</t>
  </si>
  <si>
    <t>MARY MOORE</t>
  </si>
  <si>
    <t>GEORGE JOHNSON</t>
  </si>
  <si>
    <t>LISA FLORES</t>
  </si>
  <si>
    <t>ROBERT ROBINSON</t>
  </si>
  <si>
    <t>MATTHEW NELSON</t>
  </si>
  <si>
    <t>SUSAN JACKSON</t>
  </si>
  <si>
    <t>DANIEL WILSON</t>
  </si>
  <si>
    <t>PAUL NGUYEN</t>
  </si>
  <si>
    <t>BRIAN RODRIGUEZ</t>
  </si>
  <si>
    <t>JAMES DAVIS</t>
  </si>
  <si>
    <t>ANDREW KING</t>
  </si>
  <si>
    <t>ROBERT WRIGHT</t>
  </si>
  <si>
    <t>ELIZABETH JACKSON</t>
  </si>
  <si>
    <t>PATRICIA RIVERA</t>
  </si>
  <si>
    <t>JAMES NGUYEN</t>
  </si>
  <si>
    <t>JAMES GREEN</t>
  </si>
  <si>
    <t>ANTHONY GARCIA</t>
  </si>
  <si>
    <t>ANDREW SANCHEZ</t>
  </si>
  <si>
    <t>DANIEL WHITE</t>
  </si>
  <si>
    <t>DEBORAH FLORES</t>
  </si>
  <si>
    <t>GEORGE BAKER</t>
  </si>
  <si>
    <t>EMILY KING</t>
  </si>
  <si>
    <t>MATTHEW MITCHELL</t>
  </si>
  <si>
    <t>JENNIFER HILL</t>
  </si>
  <si>
    <t>ANDREW HARRIS</t>
  </si>
  <si>
    <t>DOROTHY JOHNSON</t>
  </si>
  <si>
    <t>GEORGE HALL</t>
  </si>
  <si>
    <t>MARGARET JACKSON</t>
  </si>
  <si>
    <t>ANTHONY MARTINEZ</t>
  </si>
  <si>
    <t>DAVID WILLIAMS</t>
  </si>
  <si>
    <t>PATRICIA NGUYEN</t>
  </si>
  <si>
    <t>KEVIN RAMIREZ</t>
  </si>
  <si>
    <t>THOMAS GARCIA</t>
  </si>
  <si>
    <t>DEBORAH THOMAS</t>
  </si>
  <si>
    <t>EMILY NELSON</t>
  </si>
  <si>
    <t>LINDA NELSON</t>
  </si>
  <si>
    <t>DANIEL MITCHELL</t>
  </si>
  <si>
    <t>CHARLES GONZALEZ</t>
  </si>
  <si>
    <t>EMILY LEE</t>
  </si>
  <si>
    <t>STEVEN WILLIAMS</t>
  </si>
  <si>
    <t>MICHAEL LOPEZ</t>
  </si>
  <si>
    <t>RICHARD FLORES</t>
  </si>
  <si>
    <t>WILLIAM WILSON</t>
  </si>
  <si>
    <t>BARBARA NGUYEN</t>
  </si>
  <si>
    <t>SUSAN TORRES</t>
  </si>
  <si>
    <t>EMILY HILL</t>
  </si>
  <si>
    <t>KENNETH JACKSON</t>
  </si>
  <si>
    <t>WILLIAM HARRIS</t>
  </si>
  <si>
    <t>SUSAN BROWN</t>
  </si>
  <si>
    <t>DOROTHY CAMPBELL</t>
  </si>
  <si>
    <t>KEVIN SMITH</t>
  </si>
  <si>
    <t>BARBARA SANCHEZ</t>
  </si>
  <si>
    <t>GEORGE NGUYEN</t>
  </si>
  <si>
    <t>STEVEN FLORES</t>
  </si>
  <si>
    <t>SANDRA HERNANDEZ</t>
  </si>
  <si>
    <t>ELIZABETH NELSON</t>
  </si>
  <si>
    <t>MARK NGUYEN</t>
  </si>
  <si>
    <t>ANTHONY HILL</t>
  </si>
  <si>
    <t>KAREN LEE</t>
  </si>
  <si>
    <t>JESSICA THOMPSON</t>
  </si>
  <si>
    <t>RICHARD JACKSON</t>
  </si>
  <si>
    <t>MARGARET PEREZ</t>
  </si>
  <si>
    <t>SANDRA CARTER</t>
  </si>
  <si>
    <t>BRIAN SCOTT</t>
  </si>
  <si>
    <t>EMILY JOHNSON</t>
  </si>
  <si>
    <t>CAROL RIVERA</t>
  </si>
  <si>
    <t>SUSAN THOMAS</t>
  </si>
  <si>
    <t>NANCY WALKER</t>
  </si>
  <si>
    <t>EDWARD MILLER</t>
  </si>
  <si>
    <t>EDWARD SMITH</t>
  </si>
  <si>
    <t>SANDRA SANCHEZ</t>
  </si>
  <si>
    <t>AMANDA HILL</t>
  </si>
  <si>
    <t>STEVEN MARTIN</t>
  </si>
  <si>
    <t>ASHLEY JACKSON</t>
  </si>
  <si>
    <t>KENNETH ANDERSON</t>
  </si>
  <si>
    <t>EDWARD RIVERA</t>
  </si>
  <si>
    <t>MELISSA NGUYEN</t>
  </si>
  <si>
    <t>SUSAN CAMPBELL</t>
  </si>
  <si>
    <t>CAROL WALKER</t>
  </si>
  <si>
    <t>MICHELLE CAMPBELL</t>
  </si>
  <si>
    <t>JESSICA CLARK</t>
  </si>
  <si>
    <t>ANTHONY HARRIS</t>
  </si>
  <si>
    <t>MELISSA ROBERTS</t>
  </si>
  <si>
    <t>RICHARD WALKER</t>
  </si>
  <si>
    <t>SARAH MOORE</t>
  </si>
  <si>
    <t>JOSEPH HALL</t>
  </si>
  <si>
    <t>EDWARD ANDERSON</t>
  </si>
  <si>
    <t>MARK THOMAS</t>
  </si>
  <si>
    <t>JENNIFER NELSON</t>
  </si>
  <si>
    <t>MICHELLE KING</t>
  </si>
  <si>
    <t>AMANDA JACKSON</t>
  </si>
  <si>
    <t>KIMBERLY CARTER</t>
  </si>
  <si>
    <t>JOSHUA GARCIA</t>
  </si>
  <si>
    <t>SUSAN MOORE</t>
  </si>
  <si>
    <t>DONALD BROWN</t>
  </si>
  <si>
    <t>KENNETH SMITH</t>
  </si>
  <si>
    <t>KEVIN CAMPBELL</t>
  </si>
  <si>
    <t>SUSAN RIVERA</t>
  </si>
  <si>
    <t>CHRISTOPHER GONZALEZ</t>
  </si>
  <si>
    <t>KIMBERLY HERNANDEZ</t>
  </si>
  <si>
    <t>BRIAN ANDERSON</t>
  </si>
  <si>
    <t>ELIZABETH SCOTT</t>
  </si>
  <si>
    <t>PATRICIA JONES</t>
  </si>
  <si>
    <t>JOHN WRIGHT</t>
  </si>
  <si>
    <t>CHARLES MILLER</t>
  </si>
  <si>
    <t>DAVID ROBINSON</t>
  </si>
  <si>
    <t>GEORGE WILLIAMS</t>
  </si>
  <si>
    <t>MATTHEW BROWN</t>
  </si>
  <si>
    <t>STEVEN SMITH</t>
  </si>
  <si>
    <t>CAROL ANDERSON</t>
  </si>
  <si>
    <t>NAMA PEGAWAI - UNIT</t>
  </si>
  <si>
    <t>UNIT WILAYAH UTARA</t>
  </si>
  <si>
    <t>OUTLET</t>
  </si>
  <si>
    <t>OFFICE</t>
  </si>
  <si>
    <t>NORTH 5</t>
  </si>
  <si>
    <t>NORTH 1</t>
  </si>
  <si>
    <t>NORTH</t>
  </si>
  <si>
    <t>NORTH 3</t>
  </si>
  <si>
    <t>NORTH 4</t>
  </si>
  <si>
    <t>NORTH 2</t>
  </si>
  <si>
    <t>1111AA02</t>
  </si>
  <si>
    <t>1111AA08</t>
  </si>
  <si>
    <t>1111AA36</t>
  </si>
  <si>
    <t>1111AA42</t>
  </si>
  <si>
    <t>1111AA01</t>
  </si>
  <si>
    <t>1111AA63</t>
  </si>
  <si>
    <t>1111AA04</t>
  </si>
  <si>
    <t>1111AA56</t>
  </si>
  <si>
    <t>1111AA0711</t>
  </si>
  <si>
    <t>1111AA12</t>
  </si>
  <si>
    <t>1111AA03</t>
  </si>
  <si>
    <t>1111AA48</t>
  </si>
  <si>
    <t>1111AA62</t>
  </si>
  <si>
    <t>1111AA14</t>
  </si>
  <si>
    <t>1111AA10</t>
  </si>
  <si>
    <t>1111AA39</t>
  </si>
  <si>
    <t>1111AA19</t>
  </si>
  <si>
    <t>1111AA67</t>
  </si>
  <si>
    <t>1111AA21</t>
  </si>
  <si>
    <t>1111AA38</t>
  </si>
  <si>
    <t>1111AA47</t>
  </si>
  <si>
    <t>1111AA20</t>
  </si>
  <si>
    <t>1111AA18</t>
  </si>
  <si>
    <t>1111AA27</t>
  </si>
  <si>
    <t>1111AA22</t>
  </si>
  <si>
    <t>1111AA43</t>
  </si>
  <si>
    <t>1111AA51</t>
  </si>
  <si>
    <t>1111AA06</t>
  </si>
  <si>
    <t>1111AA07</t>
  </si>
  <si>
    <t>1111AA15</t>
  </si>
  <si>
    <t>1111AA17</t>
  </si>
  <si>
    <t>1111AA11</t>
  </si>
  <si>
    <t>1111AA25</t>
  </si>
  <si>
    <t>1111AA26</t>
  </si>
  <si>
    <t>1111AA50</t>
  </si>
  <si>
    <t>1111AA49</t>
  </si>
  <si>
    <t>1111AA52</t>
  </si>
  <si>
    <t>1111AA05</t>
  </si>
  <si>
    <t>1111AA35</t>
  </si>
  <si>
    <t>1111AA45</t>
  </si>
  <si>
    <t>1111AA00</t>
  </si>
  <si>
    <t>Outlet 1</t>
  </si>
  <si>
    <t>Outlet 2</t>
  </si>
  <si>
    <t>Outlet 3</t>
  </si>
  <si>
    <t>Outlet 4</t>
  </si>
  <si>
    <t>Outlet 5</t>
  </si>
  <si>
    <t>Outlet 6</t>
  </si>
  <si>
    <t>Outlet 7</t>
  </si>
  <si>
    <t>Outlet 8</t>
  </si>
  <si>
    <t>Outlet 9</t>
  </si>
  <si>
    <t>Outlet 10</t>
  </si>
  <si>
    <t>Outlet 11</t>
  </si>
  <si>
    <t>Outlet 12</t>
  </si>
  <si>
    <t>Outlet 13</t>
  </si>
  <si>
    <t>Outlet 14</t>
  </si>
  <si>
    <t>Outlet 15</t>
  </si>
  <si>
    <t>Outlet 16</t>
  </si>
  <si>
    <t>Outlet 17</t>
  </si>
  <si>
    <t>Outlet 18</t>
  </si>
  <si>
    <t>Outlet 19</t>
  </si>
  <si>
    <t>Outlet 20</t>
  </si>
  <si>
    <t>Outlet 21</t>
  </si>
  <si>
    <t>Outlet 22</t>
  </si>
  <si>
    <t>Outlet 23</t>
  </si>
  <si>
    <t>Outlet 24</t>
  </si>
  <si>
    <t>Outlet 25</t>
  </si>
  <si>
    <t>Outlet 26</t>
  </si>
  <si>
    <t>Outlet 27</t>
  </si>
  <si>
    <t>Outlet 28</t>
  </si>
  <si>
    <t>Outlet 29</t>
  </si>
  <si>
    <t>Outlet 30</t>
  </si>
  <si>
    <t>Outlet 31</t>
  </si>
  <si>
    <t>Outlet 32</t>
  </si>
  <si>
    <t>Outlet 33</t>
  </si>
  <si>
    <t>Outlet 34</t>
  </si>
  <si>
    <t>Outlet 35</t>
  </si>
  <si>
    <t>Outlet 36</t>
  </si>
  <si>
    <t>Outlet 37</t>
  </si>
  <si>
    <t>Outlet 38</t>
  </si>
  <si>
    <t>Outlet 40</t>
  </si>
  <si>
    <t>Office</t>
  </si>
  <si>
    <t>11160815F</t>
  </si>
  <si>
    <t>11140519C</t>
  </si>
  <si>
    <t>11180618B</t>
  </si>
  <si>
    <t>11180111E</t>
  </si>
  <si>
    <t>11180705B</t>
  </si>
  <si>
    <t>11101101B</t>
  </si>
  <si>
    <t>11141213C</t>
  </si>
  <si>
    <t>11170725K</t>
  </si>
  <si>
    <t>11170602S</t>
  </si>
  <si>
    <t>11170211AA</t>
  </si>
  <si>
    <t>11191112I</t>
  </si>
  <si>
    <t>11180628W</t>
  </si>
  <si>
    <t>11160726Z</t>
  </si>
  <si>
    <t>11171231H</t>
  </si>
  <si>
    <t>11180718B</t>
  </si>
  <si>
    <t>11121104A</t>
  </si>
  <si>
    <t>11191019B</t>
  </si>
  <si>
    <t>11170118D</t>
  </si>
  <si>
    <t>11160722M</t>
  </si>
  <si>
    <t>11171010B</t>
  </si>
  <si>
    <t>11131117A</t>
  </si>
  <si>
    <t>11190818G</t>
  </si>
  <si>
    <t>11140329A</t>
  </si>
  <si>
    <t>11190101AA</t>
  </si>
  <si>
    <t>11100727B</t>
  </si>
  <si>
    <t>11150728M</t>
  </si>
  <si>
    <t>11170717Y</t>
  </si>
  <si>
    <t>11150415A</t>
  </si>
  <si>
    <t>11191112H</t>
  </si>
  <si>
    <t>11160104F</t>
  </si>
  <si>
    <t>11160512D</t>
  </si>
  <si>
    <t>11141011E</t>
  </si>
  <si>
    <t>11170415B</t>
  </si>
  <si>
    <t>11140531A</t>
  </si>
  <si>
    <t>11101013B</t>
  </si>
  <si>
    <t>11180708J</t>
  </si>
  <si>
    <t>11180803B</t>
  </si>
  <si>
    <t>11140730G</t>
  </si>
  <si>
    <t>11170528E</t>
  </si>
  <si>
    <t>11170814A</t>
  </si>
  <si>
    <t>11130716B</t>
  </si>
  <si>
    <t>11121002A</t>
  </si>
  <si>
    <t>11180921B</t>
  </si>
  <si>
    <t>11181005E</t>
  </si>
  <si>
    <t>11171025H</t>
  </si>
  <si>
    <t>11160614G</t>
  </si>
  <si>
    <t>11180414D</t>
  </si>
  <si>
    <t>11150528A</t>
  </si>
  <si>
    <t>11160623G</t>
  </si>
  <si>
    <t>11160428F</t>
  </si>
  <si>
    <t>11141023A</t>
  </si>
  <si>
    <t>11170213B</t>
  </si>
  <si>
    <t>11170106S</t>
  </si>
  <si>
    <t>11110515A</t>
  </si>
  <si>
    <t>11100128B</t>
  </si>
  <si>
    <t>11190508B</t>
  </si>
  <si>
    <t>11190613G</t>
  </si>
  <si>
    <t>11180501M</t>
  </si>
  <si>
    <t>11110805B</t>
  </si>
  <si>
    <t>11100523C</t>
  </si>
  <si>
    <t>11180104G</t>
  </si>
  <si>
    <t>11170307D</t>
  </si>
  <si>
    <t>11180718E</t>
  </si>
  <si>
    <t>11170714E</t>
  </si>
  <si>
    <t>11160407G</t>
  </si>
  <si>
    <t>11140407A</t>
  </si>
  <si>
    <t>11160614K</t>
  </si>
  <si>
    <t>11190328T</t>
  </si>
  <si>
    <t>11121213A</t>
  </si>
  <si>
    <t>11160817F</t>
  </si>
  <si>
    <t>11141115J</t>
  </si>
  <si>
    <t>11150709B</t>
  </si>
  <si>
    <t>11161103G</t>
  </si>
  <si>
    <t>11151016A</t>
  </si>
  <si>
    <t>11140831B</t>
  </si>
  <si>
    <t>11171127B</t>
  </si>
  <si>
    <t>11160422Z</t>
  </si>
  <si>
    <t>11131016A</t>
  </si>
  <si>
    <t>11160704D</t>
  </si>
  <si>
    <t>11171121D</t>
  </si>
  <si>
    <t>11180327D</t>
  </si>
  <si>
    <t>11180510S</t>
  </si>
  <si>
    <t>11190125B</t>
  </si>
  <si>
    <t>11160625S</t>
  </si>
  <si>
    <t>11190430H</t>
  </si>
  <si>
    <t>11180218C</t>
  </si>
  <si>
    <t>11170426G</t>
  </si>
  <si>
    <t>11100902A</t>
  </si>
  <si>
    <t>11130523A</t>
  </si>
  <si>
    <t>11150625A</t>
  </si>
  <si>
    <t>11150915A</t>
  </si>
  <si>
    <t>11100925F</t>
  </si>
  <si>
    <t>11121029A</t>
  </si>
  <si>
    <t>11170611E</t>
  </si>
  <si>
    <t>11190112B</t>
  </si>
  <si>
    <t>11150211C</t>
  </si>
  <si>
    <t>11101011A</t>
  </si>
  <si>
    <t>11111705A</t>
  </si>
  <si>
    <t>11111518B</t>
  </si>
  <si>
    <t>11111115D</t>
  </si>
  <si>
    <t>11121112D</t>
  </si>
  <si>
    <t>11151115F</t>
  </si>
  <si>
    <t>11160112D</t>
  </si>
  <si>
    <t>11151112I</t>
  </si>
  <si>
    <t>11191117D</t>
  </si>
  <si>
    <t>11111107B</t>
  </si>
  <si>
    <t>11111011A</t>
  </si>
  <si>
    <t>11111607A</t>
  </si>
  <si>
    <t>11190607C</t>
  </si>
  <si>
    <t>11190904A</t>
  </si>
  <si>
    <t>11100726A</t>
  </si>
  <si>
    <t>11100731A</t>
  </si>
  <si>
    <t>11101129B</t>
  </si>
  <si>
    <t>11101213A</t>
  </si>
  <si>
    <t>11110419A</t>
  </si>
  <si>
    <t>11110811A</t>
  </si>
  <si>
    <t>11111506B</t>
  </si>
  <si>
    <t>11111711A</t>
  </si>
  <si>
    <t>11121111B</t>
  </si>
  <si>
    <t>11121115A</t>
  </si>
  <si>
    <t>11140309A</t>
  </si>
  <si>
    <t>11140310A</t>
  </si>
  <si>
    <t>11140722A</t>
  </si>
  <si>
    <t>11140924B</t>
  </si>
  <si>
    <t>11141014A</t>
  </si>
  <si>
    <t>11150111A</t>
  </si>
  <si>
    <t>11150118A</t>
  </si>
  <si>
    <t>11150916A</t>
  </si>
  <si>
    <t>11160113A</t>
  </si>
  <si>
    <t>11160116A</t>
  </si>
  <si>
    <t>11160523B</t>
  </si>
  <si>
    <t>11160813A</t>
  </si>
  <si>
    <t>11160831A</t>
  </si>
  <si>
    <t>11170108A</t>
  </si>
  <si>
    <t>11171001A</t>
  </si>
  <si>
    <t>11171127A</t>
  </si>
  <si>
    <t>11180401B</t>
  </si>
  <si>
    <t>11180411A</t>
  </si>
  <si>
    <t>11180723B</t>
  </si>
  <si>
    <t>11190318A</t>
  </si>
  <si>
    <t>11190613C</t>
  </si>
  <si>
    <t>11191110A</t>
  </si>
  <si>
    <t>11100724A</t>
  </si>
  <si>
    <t>11100803A</t>
  </si>
  <si>
    <t>11110813A</t>
  </si>
  <si>
    <t>11111113A</t>
  </si>
  <si>
    <t>11111824B</t>
  </si>
  <si>
    <t>11130227A</t>
  </si>
  <si>
    <t>11130602A</t>
  </si>
  <si>
    <t>11130709A</t>
  </si>
  <si>
    <t>11130725A</t>
  </si>
  <si>
    <t>11130729A</t>
  </si>
  <si>
    <t>11141111A</t>
  </si>
  <si>
    <t>11141223B</t>
  </si>
  <si>
    <t>11160915A</t>
  </si>
  <si>
    <t>11170221B</t>
  </si>
  <si>
    <t>11180510D</t>
  </si>
  <si>
    <t>11181004A</t>
  </si>
  <si>
    <t>11191211C</t>
  </si>
  <si>
    <t>JANUARI 2025</t>
  </si>
  <si>
    <t>PT Improvement</t>
  </si>
  <si>
    <t>Jl. Surabaya 99</t>
  </si>
  <si>
    <t>Telp. (+62-31) –, e-mail :gaji@improvement.co.id</t>
  </si>
  <si>
    <t>UPSCALE</t>
  </si>
  <si>
    <t>3091218</t>
  </si>
  <si>
    <t>1515914</t>
  </si>
  <si>
    <t>1129120</t>
  </si>
  <si>
    <t>4077300</t>
  </si>
  <si>
    <t>3073557</t>
  </si>
  <si>
    <t>7035032</t>
  </si>
  <si>
    <t>7105454</t>
  </si>
  <si>
    <t>4486211</t>
  </si>
  <si>
    <t>0990860</t>
  </si>
  <si>
    <t>4991707</t>
  </si>
  <si>
    <t>2102809</t>
  </si>
  <si>
    <t>9743483</t>
  </si>
  <si>
    <t>5808214</t>
  </si>
  <si>
    <t>1284723</t>
  </si>
  <si>
    <t>7701953</t>
  </si>
  <si>
    <t>1517411</t>
  </si>
  <si>
    <t>3668445</t>
  </si>
  <si>
    <t>1623938</t>
  </si>
  <si>
    <t>1727770</t>
  </si>
  <si>
    <t>3750235</t>
  </si>
  <si>
    <t>3035315</t>
  </si>
  <si>
    <t>3118285</t>
  </si>
  <si>
    <t>7048977</t>
  </si>
  <si>
    <t>3021208</t>
  </si>
  <si>
    <t>3494203</t>
  </si>
  <si>
    <t>3453997</t>
  </si>
  <si>
    <t>5614027</t>
  </si>
  <si>
    <t>5621642</t>
  </si>
  <si>
    <t>3592562</t>
  </si>
  <si>
    <t>4309064</t>
  </si>
  <si>
    <t>4093411</t>
  </si>
  <si>
    <t>3579155</t>
  </si>
  <si>
    <t>4120800</t>
  </si>
  <si>
    <t>5635350</t>
  </si>
  <si>
    <t>2721624</t>
  </si>
  <si>
    <t>3877433</t>
  </si>
  <si>
    <t>5555038</t>
  </si>
  <si>
    <t>4261653</t>
  </si>
  <si>
    <t>3895120</t>
  </si>
  <si>
    <t>8897982</t>
  </si>
  <si>
    <t>4465495</t>
  </si>
  <si>
    <t>5864893</t>
  </si>
  <si>
    <t>7675602</t>
  </si>
  <si>
    <t>4138926</t>
  </si>
  <si>
    <t>0023841</t>
  </si>
  <si>
    <t>8132421</t>
  </si>
  <si>
    <t>3667405</t>
  </si>
  <si>
    <t>7708786</t>
  </si>
  <si>
    <t>7346941</t>
  </si>
  <si>
    <t>6208539</t>
  </si>
  <si>
    <t>4335994</t>
  </si>
  <si>
    <t>7360538</t>
  </si>
  <si>
    <t>7168047</t>
  </si>
  <si>
    <t>4242041</t>
  </si>
  <si>
    <t>6103417</t>
  </si>
  <si>
    <t>0377017</t>
  </si>
  <si>
    <t>4751209</t>
  </si>
  <si>
    <t>7869145</t>
  </si>
  <si>
    <t>6635914</t>
  </si>
  <si>
    <t>0841113</t>
  </si>
  <si>
    <t>8154897</t>
  </si>
  <si>
    <t>3838180</t>
  </si>
  <si>
    <t>6319197</t>
  </si>
  <si>
    <t>3236210</t>
  </si>
  <si>
    <t>2262762</t>
  </si>
  <si>
    <t>4709942</t>
  </si>
  <si>
    <t>0985902</t>
  </si>
  <si>
    <t>5745599</t>
  </si>
  <si>
    <t>7195546</t>
  </si>
  <si>
    <t>0761534</t>
  </si>
  <si>
    <t>2262812</t>
  </si>
  <si>
    <t>3298529</t>
  </si>
  <si>
    <t>7105470</t>
  </si>
  <si>
    <t>7626517</t>
  </si>
  <si>
    <t>3462651</t>
  </si>
  <si>
    <t>1953203</t>
  </si>
  <si>
    <t>6722753</t>
  </si>
  <si>
    <t>7200968</t>
  </si>
  <si>
    <t>7626459</t>
  </si>
  <si>
    <t>1159414</t>
  </si>
  <si>
    <t>2328539</t>
  </si>
  <si>
    <t>7105249</t>
  </si>
  <si>
    <t>2562369</t>
  </si>
  <si>
    <t>7349192</t>
  </si>
  <si>
    <t>7105439</t>
  </si>
  <si>
    <t>5294085</t>
  </si>
  <si>
    <t>7195686</t>
  </si>
  <si>
    <t>2763460</t>
  </si>
  <si>
    <t>0722164</t>
  </si>
  <si>
    <t>0847704</t>
  </si>
  <si>
    <t>5068878</t>
  </si>
  <si>
    <t>6185936</t>
  </si>
  <si>
    <t>2842927</t>
  </si>
  <si>
    <t>2842885</t>
  </si>
  <si>
    <t>6250236</t>
  </si>
  <si>
    <t>7144783</t>
  </si>
  <si>
    <t>3561658</t>
  </si>
  <si>
    <t>3127007</t>
  </si>
  <si>
    <t>2907571</t>
  </si>
  <si>
    <t>9940237</t>
  </si>
  <si>
    <t>8461855</t>
  </si>
  <si>
    <t>3598965</t>
  </si>
  <si>
    <t>6891417</t>
  </si>
  <si>
    <t>8117779</t>
  </si>
  <si>
    <t>4241308</t>
  </si>
  <si>
    <t>1879165</t>
  </si>
  <si>
    <t>8127530</t>
  </si>
  <si>
    <t>7750182</t>
  </si>
  <si>
    <t>8111285</t>
  </si>
  <si>
    <t>9169373</t>
  </si>
  <si>
    <t>6070278</t>
  </si>
  <si>
    <t>1373888</t>
  </si>
  <si>
    <t>0350806</t>
  </si>
  <si>
    <t>0951738</t>
  </si>
  <si>
    <t>2050489</t>
  </si>
  <si>
    <t>8293281</t>
  </si>
  <si>
    <t>2393250</t>
  </si>
  <si>
    <t>0938453</t>
  </si>
  <si>
    <t>3946867</t>
  </si>
  <si>
    <t>0558788</t>
  </si>
  <si>
    <t>4242025</t>
  </si>
  <si>
    <t>4839815</t>
  </si>
  <si>
    <t>6496754</t>
  </si>
  <si>
    <t>6438540</t>
  </si>
  <si>
    <t>2632277</t>
  </si>
  <si>
    <t>4938236</t>
  </si>
  <si>
    <t>2463210</t>
  </si>
  <si>
    <t>4097203</t>
  </si>
  <si>
    <t>4959950</t>
  </si>
  <si>
    <t>4795759</t>
  </si>
  <si>
    <t>4173560</t>
  </si>
  <si>
    <t>9543684</t>
  </si>
  <si>
    <t>9639805</t>
  </si>
  <si>
    <t>8709923</t>
  </si>
  <si>
    <t>0350673</t>
  </si>
  <si>
    <t>5111403</t>
  </si>
  <si>
    <t>4600851</t>
  </si>
  <si>
    <t>4960057</t>
  </si>
  <si>
    <t>6998812</t>
  </si>
  <si>
    <t>5443948</t>
  </si>
  <si>
    <t>9616472</t>
  </si>
  <si>
    <t>9639615</t>
  </si>
  <si>
    <t>5489032</t>
  </si>
  <si>
    <t>0850658</t>
  </si>
  <si>
    <t>6101429</t>
  </si>
  <si>
    <t>1435961</t>
  </si>
  <si>
    <t>0795547</t>
  </si>
  <si>
    <t>9473734</t>
  </si>
  <si>
    <t>4177560</t>
  </si>
  <si>
    <t>9053379</t>
  </si>
  <si>
    <t>9639490</t>
  </si>
  <si>
    <t>6148198</t>
  </si>
  <si>
    <t>2761183</t>
  </si>
  <si>
    <t>0172541</t>
  </si>
  <si>
    <t>5664195</t>
  </si>
  <si>
    <t>6178310</t>
  </si>
  <si>
    <t>2181936</t>
  </si>
  <si>
    <t>0978119</t>
  </si>
  <si>
    <t>6275249</t>
  </si>
  <si>
    <t>2931877</t>
  </si>
  <si>
    <t>9969733</t>
  </si>
  <si>
    <t>0677505</t>
  </si>
  <si>
    <t>1930216</t>
  </si>
  <si>
    <t>2089529</t>
  </si>
  <si>
    <t>4954898</t>
  </si>
  <si>
    <t>1998888</t>
  </si>
  <si>
    <t>5314868</t>
  </si>
  <si>
    <t>2951968</t>
  </si>
  <si>
    <t>2395884</t>
  </si>
  <si>
    <t>3073599</t>
  </si>
  <si>
    <t>7626483</t>
  </si>
  <si>
    <t>5589386</t>
  </si>
  <si>
    <t>2395868</t>
  </si>
  <si>
    <t>7105447</t>
  </si>
  <si>
    <t>3583841</t>
  </si>
  <si>
    <t>5418164</t>
  </si>
  <si>
    <t>5344089</t>
  </si>
  <si>
    <t>4631206</t>
  </si>
  <si>
    <t>6187366</t>
  </si>
  <si>
    <t>0218268</t>
  </si>
  <si>
    <t>2395827</t>
  </si>
  <si>
    <t>7844863</t>
  </si>
  <si>
    <t>2189513</t>
  </si>
  <si>
    <t>2295266</t>
  </si>
  <si>
    <t>5488654</t>
  </si>
  <si>
    <t>2320429</t>
  </si>
  <si>
    <t>2435607</t>
  </si>
  <si>
    <t>5396477</t>
  </si>
  <si>
    <t>7105520</t>
  </si>
  <si>
    <t>2395926</t>
  </si>
  <si>
    <t>6337949</t>
  </si>
  <si>
    <t>1198877</t>
  </si>
  <si>
    <t>5152269</t>
  </si>
  <si>
    <t>6716160</t>
  </si>
  <si>
    <t>2425723</t>
  </si>
  <si>
    <t>4934535</t>
  </si>
  <si>
    <t>1556340</t>
  </si>
  <si>
    <t>7105264</t>
  </si>
  <si>
    <t>5562021</t>
  </si>
  <si>
    <t>2779294</t>
  </si>
  <si>
    <t>7600407</t>
  </si>
  <si>
    <t>7626558</t>
  </si>
  <si>
    <t>7964461</t>
  </si>
  <si>
    <t>7105231</t>
  </si>
  <si>
    <t>1987980</t>
  </si>
  <si>
    <t>2395900</t>
  </si>
  <si>
    <t>7795777</t>
  </si>
  <si>
    <t>9741786</t>
  </si>
  <si>
    <t>7105181</t>
  </si>
  <si>
    <t>1556282</t>
  </si>
  <si>
    <t>6890966</t>
  </si>
  <si>
    <t>7673368</t>
  </si>
  <si>
    <t>1696946</t>
  </si>
  <si>
    <t>7572885</t>
  </si>
  <si>
    <t>3924707</t>
  </si>
  <si>
    <t>paul@gmail.com</t>
  </si>
  <si>
    <t>bria@gmail.com</t>
  </si>
  <si>
    <t>marg@gmail.com</t>
  </si>
  <si>
    <t>robe@gmail.com</t>
  </si>
  <si>
    <t>josh@gmail.com</t>
  </si>
  <si>
    <t>rich@gmail.com</t>
  </si>
  <si>
    <t>jess@gmail.com</t>
  </si>
  <si>
    <t>lind@gmail.com</t>
  </si>
  <si>
    <t>ashl@gmail.com</t>
  </si>
  <si>
    <t>caro@gmail.com</t>
  </si>
  <si>
    <t>edwa@gmail.com</t>
  </si>
  <si>
    <t>emil@gmail.com</t>
  </si>
  <si>
    <t>thom@gmail.com</t>
  </si>
  <si>
    <t>susa@gmail.com</t>
  </si>
  <si>
    <t>doro@gmail.com</t>
  </si>
  <si>
    <t>john@gmail.com</t>
  </si>
  <si>
    <t>lisa@gmail.com</t>
  </si>
  <si>
    <t>jame@gmail.com</t>
  </si>
  <si>
    <t>aman@gmail.com</t>
  </si>
  <si>
    <t>mark@gmail.com</t>
  </si>
  <si>
    <t>davi@gmail.com</t>
  </si>
  <si>
    <t>debo@gmail.com</t>
  </si>
  <si>
    <t>nanc@gmail.com</t>
  </si>
  <si>
    <t>kimb@gmail.com</t>
  </si>
  <si>
    <t>jenn@gmail.com</t>
  </si>
  <si>
    <t>dona@gmail.com</t>
  </si>
  <si>
    <t>anth@gmail.com</t>
  </si>
  <si>
    <t>kenn@gmail.com</t>
  </si>
  <si>
    <t>stev@gmail.com</t>
  </si>
  <si>
    <t>matt@gmail.com</t>
  </si>
  <si>
    <t>sara@gmail.com</t>
  </si>
  <si>
    <t>geor@gmail.com</t>
  </si>
  <si>
    <t>char@gmail.com</t>
  </si>
  <si>
    <t>dani@gmail.com</t>
  </si>
  <si>
    <t>sand@gmail.com</t>
  </si>
  <si>
    <t>barb@gmail.com</t>
  </si>
  <si>
    <t>meli@gmail.com</t>
  </si>
  <si>
    <t>mich@gmail.com</t>
  </si>
  <si>
    <t>kare@gmail.com</t>
  </si>
  <si>
    <t>bett@gmail.com</t>
  </si>
  <si>
    <t>andr@gmail.com</t>
  </si>
  <si>
    <t>jose@gmail.com</t>
  </si>
  <si>
    <t>mary@gmail.com</t>
  </si>
  <si>
    <t>patr@gmail.com</t>
  </si>
  <si>
    <t>will@gmail.com</t>
  </si>
  <si>
    <t>kevi@gmail.com</t>
  </si>
  <si>
    <t>eliz@gmail.com</t>
  </si>
  <si>
    <t>donn@gmail.com</t>
  </si>
  <si>
    <t>chri@gmail.com</t>
  </si>
  <si>
    <t>JAMES GREEN - UNIT WILAYAH UTARA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</si>
</sst>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_(* #,##0.00_);_(* \(#,##0.00\);_(* &quot;-&quot;??_);_(@_)"/>
    <numFmt numFmtId="166" formatCode="0;[Red]0"/>
    <numFmt numFmtId="167" formatCode="_-* #,##0_-;\-* #,##0_-;_-* &quot;-&quot;??_-;_-@_-"/>
    <numFmt numFmtId="168" formatCode="_(* #,##0_);_(* \(#,##0\);_(* &quot;-&quot;??_);_(@_)"/>
    <numFmt numFmtId="169" formatCode="[$-421]dd\ mmmm\ yyyy;@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6"/>
      <color rgb="FF1F487C"/>
      <name val="Times New Roman"/>
      <family val="1"/>
    </font>
    <font>
      <sz val="10"/>
      <color rgb="FF000000"/>
      <name val="Times New Roman"/>
      <family val="1"/>
    </font>
    <font>
      <sz val="8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i/>
      <sz val="8"/>
      <color theme="0"/>
      <name val="Arial"/>
      <family val="2"/>
    </font>
    <font>
      <sz val="8"/>
      <name val="Arial"/>
      <family val="2"/>
    </font>
    <font>
      <sz val="10"/>
      <color rgb="FFFFFFFF"/>
      <name val="Times New Roman"/>
      <family val="1"/>
    </font>
    <font>
      <sz val="11"/>
      <color rgb="FF000000"/>
      <name val="Calibri"/>
      <family val="2"/>
    </font>
    <font>
      <sz val="12"/>
      <color rgb="FF000000"/>
      <name val="Times New Roman"/>
      <family val="1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2"/>
      <name val="Times New Roman"/>
      <family val="1"/>
    </font>
    <font>
      <b/>
      <sz val="8"/>
      <name val="Arial"/>
      <family val="2"/>
    </font>
    <font>
      <b/>
      <i/>
      <sz val="8"/>
      <name val="Arial"/>
      <family val="2"/>
    </font>
    <font>
      <b/>
      <sz val="12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b/>
      <sz val="16"/>
      <color theme="3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3" fillId="0" borderId="0"/>
    <xf numFmtId="0" fontId="1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167" fontId="1" fillId="2" borderId="1" xfId="1" applyNumberFormat="1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67" fontId="2" fillId="2" borderId="2" xfId="1" applyNumberFormat="1" applyFont="1" applyFill="1" applyBorder="1" applyAlignment="1">
      <alignment horizontal="center" vertical="center" wrapText="1"/>
    </xf>
    <xf numFmtId="49" fontId="2" fillId="2" borderId="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166" fontId="0" fillId="0" borderId="0" xfId="0" applyNumberFormat="1" applyAlignment="1">
      <alignment horizontal="center"/>
    </xf>
    <xf numFmtId="0" fontId="2" fillId="0" borderId="0" xfId="0" applyFont="1"/>
    <xf numFmtId="168" fontId="2" fillId="0" borderId="0" xfId="1" applyNumberFormat="1" applyFont="1"/>
    <xf numFmtId="166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68" fontId="0" fillId="0" borderId="0" xfId="1" applyNumberFormat="1" applyFont="1" applyAlignment="1">
      <alignment horizontal="center" vertical="top"/>
    </xf>
    <xf numFmtId="0" fontId="3" fillId="0" borderId="0" xfId="2" applyAlignment="1">
      <alignment vertical="top"/>
    </xf>
    <xf numFmtId="0" fontId="1" fillId="0" borderId="0" xfId="3" applyAlignment="1">
      <alignment horizontal="right"/>
    </xf>
    <xf numFmtId="0" fontId="4" fillId="3" borderId="0" xfId="2" applyFont="1" applyFill="1" applyAlignment="1">
      <alignment horizontal="right" indent="1"/>
    </xf>
    <xf numFmtId="0" fontId="1" fillId="0" borderId="0" xfId="3" applyAlignment="1">
      <alignment horizontal="right" vertical="center"/>
    </xf>
    <xf numFmtId="0" fontId="3" fillId="0" borderId="0" xfId="2" applyAlignment="1">
      <alignment horizontal="right" vertical="top" indent="1"/>
    </xf>
    <xf numFmtId="0" fontId="5" fillId="0" borderId="0" xfId="2" applyFont="1" applyAlignment="1">
      <alignment horizontal="centerContinuous" vertical="center"/>
    </xf>
    <xf numFmtId="0" fontId="3" fillId="0" borderId="0" xfId="2" applyAlignment="1">
      <alignment horizontal="centerContinuous" vertical="top"/>
    </xf>
    <xf numFmtId="0" fontId="6" fillId="0" borderId="0" xfId="2" applyFont="1" applyAlignment="1">
      <alignment horizontal="centerContinuous" vertical="center"/>
    </xf>
    <xf numFmtId="0" fontId="7" fillId="0" borderId="0" xfId="2" applyFont="1" applyAlignment="1">
      <alignment horizontal="centerContinuous" vertical="center"/>
    </xf>
    <xf numFmtId="0" fontId="8" fillId="0" borderId="0" xfId="2" applyFont="1" applyAlignment="1">
      <alignment horizontal="right" vertical="top"/>
    </xf>
    <xf numFmtId="0" fontId="3" fillId="0" borderId="0" xfId="2" applyAlignment="1">
      <alignment horizontal="right" vertical="top"/>
    </xf>
    <xf numFmtId="0" fontId="9" fillId="0" borderId="0" xfId="2" applyFont="1" applyAlignment="1">
      <alignment horizontal="centerContinuous" vertical="top"/>
    </xf>
    <xf numFmtId="0" fontId="4" fillId="0" borderId="7" xfId="2" applyFont="1" applyBorder="1" applyAlignment="1">
      <alignment horizontal="center" vertical="top"/>
    </xf>
    <xf numFmtId="0" fontId="3" fillId="0" borderId="7" xfId="2" applyBorder="1" applyAlignment="1">
      <alignment horizontal="center" vertical="top"/>
    </xf>
    <xf numFmtId="0" fontId="4" fillId="0" borderId="0" xfId="2" applyFont="1" applyAlignment="1">
      <alignment vertical="top"/>
    </xf>
    <xf numFmtId="0" fontId="11" fillId="0" borderId="0" xfId="2" applyFont="1" applyAlignment="1">
      <alignment horizontal="center" vertical="center" wrapText="1"/>
    </xf>
    <xf numFmtId="0" fontId="12" fillId="0" borderId="0" xfId="2" applyFont="1" applyAlignment="1">
      <alignment vertical="center"/>
    </xf>
    <xf numFmtId="164" fontId="13" fillId="0" borderId="0" xfId="4" applyFont="1" applyAlignment="1">
      <alignment horizontal="right" vertical="top"/>
    </xf>
    <xf numFmtId="0" fontId="14" fillId="0" borderId="10" xfId="2" applyFont="1" applyBorder="1" applyAlignment="1">
      <alignment horizontal="centerContinuous" vertical="center"/>
    </xf>
    <xf numFmtId="0" fontId="15" fillId="0" borderId="10" xfId="2" applyFont="1" applyBorder="1" applyAlignment="1">
      <alignment horizontal="centerContinuous" vertical="center"/>
    </xf>
    <xf numFmtId="0" fontId="12" fillId="0" borderId="10" xfId="2" applyFont="1" applyBorder="1" applyAlignment="1">
      <alignment horizontal="centerContinuous" vertical="center"/>
    </xf>
    <xf numFmtId="164" fontId="16" fillId="0" borderId="10" xfId="2" applyNumberFormat="1" applyFont="1" applyBorder="1" applyAlignment="1">
      <alignment vertical="top"/>
    </xf>
    <xf numFmtId="0" fontId="3" fillId="0" borderId="0" xfId="2" applyAlignment="1">
      <alignment vertical="center"/>
    </xf>
    <xf numFmtId="164" fontId="16" fillId="0" borderId="0" xfId="2" applyNumberFormat="1" applyFont="1" applyAlignment="1">
      <alignment horizontal="left" vertical="top"/>
    </xf>
    <xf numFmtId="164" fontId="16" fillId="0" borderId="10" xfId="2" applyNumberFormat="1" applyFont="1" applyBorder="1" applyAlignment="1">
      <alignment horizontal="left" vertical="top"/>
    </xf>
    <xf numFmtId="0" fontId="12" fillId="0" borderId="0" xfId="2" applyFont="1" applyAlignment="1">
      <alignment horizontal="centerContinuous" vertical="center"/>
    </xf>
    <xf numFmtId="0" fontId="11" fillId="0" borderId="0" xfId="2" applyFont="1" applyAlignment="1">
      <alignment vertical="center" wrapText="1"/>
    </xf>
    <xf numFmtId="164" fontId="16" fillId="0" borderId="0" xfId="2" applyNumberFormat="1" applyFont="1" applyAlignment="1">
      <alignment horizontal="center" vertical="center"/>
    </xf>
    <xf numFmtId="168" fontId="0" fillId="0" borderId="0" xfId="5" applyNumberFormat="1" applyFont="1" applyAlignment="1">
      <alignment vertical="top"/>
    </xf>
    <xf numFmtId="0" fontId="20" fillId="0" borderId="0" xfId="2" applyFont="1" applyAlignment="1">
      <alignment horizontal="centerContinuous" wrapText="1"/>
    </xf>
    <xf numFmtId="164" fontId="0" fillId="0" borderId="0" xfId="4" applyFont="1" applyAlignment="1">
      <alignment vertical="top"/>
    </xf>
    <xf numFmtId="164" fontId="3" fillId="0" borderId="0" xfId="2" applyNumberFormat="1" applyAlignment="1">
      <alignment vertical="top"/>
    </xf>
    <xf numFmtId="0" fontId="3" fillId="0" borderId="0" xfId="0" applyFont="1" applyAlignment="1">
      <alignment vertical="top"/>
    </xf>
    <xf numFmtId="166" fontId="21" fillId="0" borderId="0" xfId="0" applyNumberFormat="1" applyFont="1" applyAlignment="1">
      <alignment horizontal="center" vertical="top"/>
    </xf>
    <xf numFmtId="166" fontId="21" fillId="0" borderId="0" xfId="0" quotePrefix="1" applyNumberFormat="1" applyFont="1" applyAlignment="1">
      <alignment horizontal="center" vertical="top"/>
    </xf>
    <xf numFmtId="0" fontId="22" fillId="0" borderId="0" xfId="2" applyFont="1" applyAlignment="1">
      <alignment horizontal="centerContinuous" vertical="center"/>
    </xf>
    <xf numFmtId="0" fontId="11" fillId="4" borderId="0" xfId="2" applyFont="1" applyFill="1" applyAlignment="1">
      <alignment vertical="center" wrapText="1"/>
    </xf>
    <xf numFmtId="0" fontId="11" fillId="4" borderId="0" xfId="2" applyFont="1" applyFill="1" applyAlignment="1">
      <alignment horizontal="center" vertical="center" wrapText="1"/>
    </xf>
    <xf numFmtId="0" fontId="9" fillId="4" borderId="3" xfId="2" applyFont="1" applyFill="1" applyBorder="1" applyAlignment="1">
      <alignment horizontal="center" vertical="center" wrapText="1"/>
    </xf>
    <xf numFmtId="0" fontId="9" fillId="4" borderId="6" xfId="2" applyFont="1" applyFill="1" applyBorder="1" applyAlignment="1">
      <alignment horizontal="center" vertical="center" wrapText="1"/>
    </xf>
    <xf numFmtId="0" fontId="11" fillId="4" borderId="11" xfId="2" applyFont="1" applyFill="1" applyBorder="1" applyAlignment="1">
      <alignment horizontal="center" vertical="center" wrapText="1"/>
    </xf>
    <xf numFmtId="0" fontId="3" fillId="4" borderId="11" xfId="2" applyFill="1" applyBorder="1" applyAlignment="1">
      <alignment vertical="top"/>
    </xf>
    <xf numFmtId="0" fontId="3" fillId="4" borderId="11" xfId="2" applyFill="1" applyBorder="1" applyAlignment="1">
      <alignment horizontal="center" vertical="top"/>
    </xf>
    <xf numFmtId="0" fontId="9" fillId="4" borderId="4" xfId="2" applyFont="1" applyFill="1" applyBorder="1" applyAlignment="1">
      <alignment horizontal="center" vertical="center" wrapText="1"/>
    </xf>
    <xf numFmtId="0" fontId="10" fillId="4" borderId="5" xfId="2" applyFont="1" applyFill="1" applyBorder="1" applyAlignment="1">
      <alignment horizontal="center" vertical="center" wrapText="1"/>
    </xf>
    <xf numFmtId="169" fontId="3" fillId="0" borderId="8" xfId="2" applyNumberFormat="1" applyBorder="1" applyAlignment="1">
      <alignment horizontal="center" vertical="top"/>
    </xf>
    <xf numFmtId="0" fontId="3" fillId="0" borderId="9" xfId="2" applyBorder="1" applyAlignment="1">
      <alignment horizontal="center" vertical="top"/>
    </xf>
    <xf numFmtId="0" fontId="19" fillId="0" borderId="0" xfId="2" applyFont="1" applyAlignment="1">
      <alignment horizontal="center"/>
    </xf>
  </cellXfs>
  <cellStyles count="6">
    <cellStyle name="Comma" xfId="1" builtinId="3"/>
    <cellStyle name="Comma [0] 2" xfId="4" xr:uid="{553B8A16-1DA7-48DA-8A0A-F65877CA3996}"/>
    <cellStyle name="Comma 2" xfId="5" xr:uid="{76EDD2EB-B4E4-4144-BEC4-D10302B1B070}"/>
    <cellStyle name="Normal" xfId="0" builtinId="0"/>
    <cellStyle name="Normal 2" xfId="2" xr:uid="{4F3108BB-070A-4A41-8ABD-3334FED714BD}"/>
    <cellStyle name="Normal 2 2" xfId="3" xr:uid="{7B02C1F2-FDF8-4008-8F7E-2453F2A2644D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0</xdr:row>
      <xdr:rowOff>0</xdr:rowOff>
    </xdr:from>
    <xdr:to>
      <xdr:col>13</xdr:col>
      <xdr:colOff>1293587</xdr:colOff>
      <xdr:row>2</xdr:row>
      <xdr:rowOff>25400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960EE248-25CA-43B2-B6AC-9D4A47331729}"/>
            </a:ext>
          </a:extLst>
        </xdr:cNvPr>
        <xdr:cNvSpPr/>
      </xdr:nvSpPr>
      <xdr:spPr>
        <a:xfrm>
          <a:off x="14462760" y="0"/>
          <a:ext cx="1583147" cy="482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PILIH</a:t>
          </a:r>
          <a:r>
            <a:rPr lang="en-US" sz="1100" baseline="0"/>
            <a:t> NAMA PEGAWAI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CC1BC-E05C-4B6B-851D-B5035FF0A4D5}">
  <sheetPr codeName="Sheet2"/>
  <dimension ref="A1:DM220"/>
  <sheetViews>
    <sheetView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M6" sqref="DM6"/>
    </sheetView>
  </sheetViews>
  <sheetFormatPr defaultRowHeight="15" x14ac:dyDescent="0.25"/>
  <cols>
    <col min="1" max="1" width="54.28515625" bestFit="1" customWidth="1"/>
    <col min="2" max="3" width="15.140625" bestFit="1" customWidth="1"/>
    <col min="4" max="4" width="34.85546875" bestFit="1" customWidth="1"/>
    <col min="5" max="5" width="17.85546875" bestFit="1" customWidth="1"/>
    <col min="6" max="6" width="19.85546875" bestFit="1" customWidth="1"/>
    <col min="7" max="7" width="9" bestFit="1" customWidth="1"/>
    <col min="8" max="8" width="17.5703125" bestFit="1" customWidth="1"/>
    <col min="9" max="9" width="11" bestFit="1" customWidth="1"/>
    <col min="10" max="10" width="32" bestFit="1" customWidth="1"/>
    <col min="11" max="11" width="10.140625" bestFit="1" customWidth="1"/>
    <col min="12" max="12" width="16.85546875" bestFit="1" customWidth="1"/>
    <col min="13" max="13" width="11.42578125" customWidth="1"/>
    <col min="14" max="14" width="15.7109375" customWidth="1"/>
    <col min="15" max="15" width="16.140625" bestFit="1" customWidth="1"/>
    <col min="17" max="17" width="17.85546875" bestFit="1" customWidth="1"/>
    <col min="18" max="18" width="10.7109375" bestFit="1" customWidth="1"/>
    <col min="19" max="19" width="8.5703125" bestFit="1" customWidth="1"/>
    <col min="20" max="20" width="8.28515625" bestFit="1" customWidth="1"/>
    <col min="21" max="21" width="8" bestFit="1" customWidth="1"/>
    <col min="22" max="22" width="10.42578125" bestFit="1" customWidth="1"/>
    <col min="23" max="23" width="7.7109375" bestFit="1" customWidth="1"/>
    <col min="25" max="25" width="11.28515625" bestFit="1" customWidth="1"/>
    <col min="27" max="27" width="8.28515625" bestFit="1" customWidth="1"/>
    <col min="30" max="31" width="8" bestFit="1" customWidth="1"/>
    <col min="32" max="32" width="9.140625" bestFit="1" customWidth="1"/>
    <col min="33" max="33" width="8.28515625" bestFit="1" customWidth="1"/>
    <col min="34" max="34" width="8.140625" bestFit="1" customWidth="1"/>
    <col min="35" max="36" width="7.28515625" bestFit="1" customWidth="1"/>
    <col min="37" max="37" width="7.7109375" bestFit="1" customWidth="1"/>
    <col min="40" max="41" width="7.7109375" bestFit="1" customWidth="1"/>
    <col min="42" max="42" width="9" bestFit="1" customWidth="1"/>
    <col min="43" max="43" width="9.28515625" bestFit="1" customWidth="1"/>
    <col min="44" max="44" width="9" bestFit="1" customWidth="1"/>
    <col min="45" max="45" width="11.42578125" bestFit="1" customWidth="1"/>
    <col min="46" max="46" width="9.28515625" bestFit="1" customWidth="1"/>
    <col min="47" max="47" width="8.28515625" bestFit="1" customWidth="1"/>
    <col min="48" max="48" width="9" bestFit="1" customWidth="1"/>
    <col min="49" max="50" width="8.7109375" bestFit="1" customWidth="1"/>
    <col min="51" max="51" width="8.42578125" bestFit="1" customWidth="1"/>
    <col min="52" max="52" width="11.28515625" bestFit="1" customWidth="1"/>
    <col min="53" max="53" width="8.7109375" bestFit="1" customWidth="1"/>
    <col min="54" max="54" width="7.7109375" bestFit="1" customWidth="1"/>
    <col min="55" max="55" width="10.5703125" bestFit="1" customWidth="1"/>
    <col min="56" max="56" width="7.85546875" bestFit="1" customWidth="1"/>
    <col min="57" max="57" width="11.28515625" bestFit="1" customWidth="1"/>
    <col min="59" max="59" width="8.5703125" bestFit="1" customWidth="1"/>
    <col min="60" max="60" width="8.28515625" bestFit="1" customWidth="1"/>
    <col min="61" max="61" width="12.7109375" bestFit="1" customWidth="1"/>
    <col min="62" max="62" width="8" bestFit="1" customWidth="1"/>
    <col min="63" max="63" width="6.28515625" bestFit="1" customWidth="1"/>
    <col min="64" max="64" width="9.140625" bestFit="1" customWidth="1"/>
    <col min="65" max="65" width="8.7109375" bestFit="1" customWidth="1"/>
    <col min="66" max="66" width="8" bestFit="1" customWidth="1"/>
    <col min="67" max="67" width="7" bestFit="1" customWidth="1"/>
    <col min="68" max="68" width="8.28515625" bestFit="1" customWidth="1"/>
    <col min="69" max="69" width="9.5703125" bestFit="1" customWidth="1"/>
    <col min="70" max="70" width="5.5703125" bestFit="1" customWidth="1"/>
    <col min="71" max="71" width="7.85546875" bestFit="1" customWidth="1"/>
    <col min="72" max="72" width="6.140625" bestFit="1" customWidth="1"/>
    <col min="73" max="73" width="9.7109375" bestFit="1" customWidth="1"/>
    <col min="74" max="74" width="8" bestFit="1" customWidth="1"/>
    <col min="75" max="75" width="8.7109375" bestFit="1" customWidth="1"/>
    <col min="76" max="76" width="8" bestFit="1" customWidth="1"/>
    <col min="77" max="77" width="10.42578125" bestFit="1" customWidth="1"/>
    <col min="78" max="78" width="9.5703125" bestFit="1" customWidth="1"/>
    <col min="79" max="79" width="8.140625" bestFit="1" customWidth="1"/>
    <col min="80" max="80" width="8.5703125" bestFit="1" customWidth="1"/>
    <col min="81" max="81" width="5.5703125" bestFit="1" customWidth="1"/>
    <col min="82" max="82" width="9.7109375" bestFit="1" customWidth="1"/>
    <col min="83" max="83" width="8.5703125" bestFit="1" customWidth="1"/>
    <col min="84" max="84" width="8.7109375" bestFit="1" customWidth="1"/>
    <col min="85" max="87" width="9.7109375" bestFit="1" customWidth="1"/>
    <col min="88" max="88" width="9.5703125" bestFit="1" customWidth="1"/>
    <col min="89" max="89" width="10.28515625" bestFit="1" customWidth="1"/>
    <col min="90" max="90" width="16.140625" bestFit="1" customWidth="1"/>
    <col min="91" max="91" width="8.140625" bestFit="1" customWidth="1"/>
    <col min="92" max="92" width="10.42578125" bestFit="1" customWidth="1"/>
    <col min="93" max="93" width="8.5703125" bestFit="1" customWidth="1"/>
    <col min="94" max="94" width="12.7109375" bestFit="1" customWidth="1"/>
    <col min="95" max="97" width="8" bestFit="1" customWidth="1"/>
    <col min="98" max="98" width="8.42578125" bestFit="1" customWidth="1"/>
    <col min="99" max="99" width="8.28515625" bestFit="1" customWidth="1"/>
    <col min="102" max="102" width="8.5703125" bestFit="1" customWidth="1"/>
    <col min="104" max="104" width="10.7109375" bestFit="1" customWidth="1"/>
    <col min="105" max="105" width="12.7109375" bestFit="1" customWidth="1"/>
    <col min="111" max="111" width="8.140625" bestFit="1" customWidth="1"/>
    <col min="112" max="112" width="11.42578125" bestFit="1" customWidth="1"/>
    <col min="113" max="113" width="14.140625" bestFit="1" customWidth="1"/>
    <col min="114" max="114" width="35.42578125" bestFit="1" customWidth="1"/>
    <col min="115" max="115" width="8.140625" bestFit="1" customWidth="1"/>
    <col min="116" max="116" width="39.28515625" bestFit="1" customWidth="1"/>
    <col min="117" max="117" width="13.42578125" bestFit="1" customWidth="1"/>
  </cols>
  <sheetData>
    <row r="1" spans="1:117" x14ac:dyDescent="0.25">
      <c r="A1" s="50" t="s">
        <v>144</v>
      </c>
      <c r="B1" s="51">
        <f>COUNTA(B5:B7000)</f>
        <v>216</v>
      </c>
    </row>
    <row r="2" spans="1:117" x14ac:dyDescent="0.25">
      <c r="A2" s="50" t="s">
        <v>133</v>
      </c>
      <c r="B2" s="52" t="s">
        <v>600</v>
      </c>
    </row>
    <row r="5" spans="1:117" s="1" customFormat="1" ht="66.599999999999994" customHeight="1" x14ac:dyDescent="0.25">
      <c r="A5" s="1" t="s">
        <v>350</v>
      </c>
      <c r="B5" s="2" t="s">
        <v>0</v>
      </c>
      <c r="C5" s="2" t="s">
        <v>1</v>
      </c>
      <c r="D5" s="3" t="s">
        <v>2</v>
      </c>
      <c r="E5" s="4" t="s">
        <v>3</v>
      </c>
      <c r="F5" s="3" t="s">
        <v>4</v>
      </c>
      <c r="G5" s="3" t="s">
        <v>5</v>
      </c>
      <c r="H5" s="3" t="s">
        <v>6</v>
      </c>
      <c r="I5" s="3" t="s">
        <v>7</v>
      </c>
      <c r="J5" s="3" t="s">
        <v>8</v>
      </c>
      <c r="K5" s="3" t="s">
        <v>9</v>
      </c>
      <c r="L5" s="3" t="s">
        <v>10</v>
      </c>
      <c r="M5" s="4" t="s">
        <v>11</v>
      </c>
      <c r="N5" s="4" t="s">
        <v>12</v>
      </c>
      <c r="O5" s="3" t="s">
        <v>13</v>
      </c>
      <c r="P5" s="4" t="s">
        <v>14</v>
      </c>
      <c r="Q5" s="3" t="s">
        <v>15</v>
      </c>
      <c r="R5" s="3" t="s">
        <v>16</v>
      </c>
      <c r="S5" s="4" t="s">
        <v>17</v>
      </c>
      <c r="T5" s="4" t="s">
        <v>18</v>
      </c>
      <c r="U5" s="5" t="s">
        <v>19</v>
      </c>
      <c r="V5" s="4" t="s">
        <v>20</v>
      </c>
      <c r="W5" s="4" t="s">
        <v>21</v>
      </c>
      <c r="X5" s="4" t="s">
        <v>22</v>
      </c>
      <c r="Y5" s="4" t="s">
        <v>23</v>
      </c>
      <c r="Z5" s="4" t="s">
        <v>24</v>
      </c>
      <c r="AA5" s="4" t="s">
        <v>25</v>
      </c>
      <c r="AB5" s="4" t="s">
        <v>26</v>
      </c>
      <c r="AC5" s="4" t="s">
        <v>27</v>
      </c>
      <c r="AD5" s="4" t="s">
        <v>28</v>
      </c>
      <c r="AE5" s="4" t="s">
        <v>29</v>
      </c>
      <c r="AF5" s="4" t="s">
        <v>30</v>
      </c>
      <c r="AG5" s="4" t="s">
        <v>31</v>
      </c>
      <c r="AH5" s="4" t="s">
        <v>32</v>
      </c>
      <c r="AI5" s="4" t="s">
        <v>33</v>
      </c>
      <c r="AJ5" s="4" t="s">
        <v>34</v>
      </c>
      <c r="AK5" s="4" t="s">
        <v>35</v>
      </c>
      <c r="AL5" s="4" t="s">
        <v>36</v>
      </c>
      <c r="AM5" s="4" t="s">
        <v>37</v>
      </c>
      <c r="AN5" s="4" t="s">
        <v>38</v>
      </c>
      <c r="AO5" s="4" t="s">
        <v>39</v>
      </c>
      <c r="AP5" s="4" t="s">
        <v>40</v>
      </c>
      <c r="AQ5" s="3" t="s">
        <v>41</v>
      </c>
      <c r="AR5" s="4" t="s">
        <v>42</v>
      </c>
      <c r="AS5" s="4" t="s">
        <v>43</v>
      </c>
      <c r="AT5" s="4" t="s">
        <v>44</v>
      </c>
      <c r="AU5" s="4" t="s">
        <v>45</v>
      </c>
      <c r="AV5" s="4" t="s">
        <v>46</v>
      </c>
      <c r="AW5" s="4" t="s">
        <v>47</v>
      </c>
      <c r="AX5" s="4" t="s">
        <v>48</v>
      </c>
      <c r="AY5" s="4" t="s">
        <v>49</v>
      </c>
      <c r="AZ5" s="4" t="s">
        <v>50</v>
      </c>
      <c r="BA5" s="4" t="s">
        <v>51</v>
      </c>
      <c r="BB5" s="4" t="s">
        <v>52</v>
      </c>
      <c r="BC5" s="4" t="s">
        <v>53</v>
      </c>
      <c r="BD5" s="4" t="s">
        <v>54</v>
      </c>
      <c r="BE5" s="4" t="s">
        <v>55</v>
      </c>
      <c r="BF5" s="4" t="s">
        <v>56</v>
      </c>
      <c r="BG5" s="4" t="s">
        <v>57</v>
      </c>
      <c r="BH5" s="4" t="s">
        <v>58</v>
      </c>
      <c r="BI5" s="3" t="s">
        <v>59</v>
      </c>
      <c r="BJ5" s="4" t="s">
        <v>60</v>
      </c>
      <c r="BK5" s="4" t="s">
        <v>61</v>
      </c>
      <c r="BL5" s="4" t="s">
        <v>62</v>
      </c>
      <c r="BM5" s="4" t="s">
        <v>63</v>
      </c>
      <c r="BN5" s="4" t="s">
        <v>64</v>
      </c>
      <c r="BO5" s="4" t="s">
        <v>65</v>
      </c>
      <c r="BP5" s="4" t="s">
        <v>66</v>
      </c>
      <c r="BQ5" s="4" t="s">
        <v>67</v>
      </c>
      <c r="BR5" s="4" t="s">
        <v>68</v>
      </c>
      <c r="BS5" s="4" t="s">
        <v>69</v>
      </c>
      <c r="BT5" s="4" t="s">
        <v>70</v>
      </c>
      <c r="BU5" s="4" t="s">
        <v>71</v>
      </c>
      <c r="BV5" s="4" t="s">
        <v>72</v>
      </c>
      <c r="BW5" s="4" t="s">
        <v>73</v>
      </c>
      <c r="BX5" s="4" t="s">
        <v>74</v>
      </c>
      <c r="BY5" s="4" t="s">
        <v>75</v>
      </c>
      <c r="BZ5" s="4" t="s">
        <v>76</v>
      </c>
      <c r="CA5" s="4" t="s">
        <v>77</v>
      </c>
      <c r="CB5" s="4" t="s">
        <v>78</v>
      </c>
      <c r="CC5" s="4" t="s">
        <v>79</v>
      </c>
      <c r="CD5" s="4" t="s">
        <v>80</v>
      </c>
      <c r="CE5" s="4" t="s">
        <v>81</v>
      </c>
      <c r="CF5" s="4" t="s">
        <v>82</v>
      </c>
      <c r="CG5" s="4" t="s">
        <v>83</v>
      </c>
      <c r="CH5" s="4" t="s">
        <v>84</v>
      </c>
      <c r="CI5" s="4" t="s">
        <v>85</v>
      </c>
      <c r="CJ5" s="4" t="s">
        <v>86</v>
      </c>
      <c r="CK5" s="4" t="s">
        <v>87</v>
      </c>
      <c r="CL5" s="3" t="s">
        <v>88</v>
      </c>
      <c r="CM5" s="4" t="s">
        <v>89</v>
      </c>
      <c r="CN5" s="4" t="s">
        <v>90</v>
      </c>
      <c r="CO5" s="4" t="s">
        <v>91</v>
      </c>
      <c r="CP5" s="4" t="s">
        <v>92</v>
      </c>
      <c r="CQ5" s="4" t="s">
        <v>93</v>
      </c>
      <c r="CR5" s="4" t="s">
        <v>94</v>
      </c>
      <c r="CS5" s="4" t="s">
        <v>95</v>
      </c>
      <c r="CT5" s="4" t="s">
        <v>96</v>
      </c>
      <c r="CU5" s="4" t="s">
        <v>97</v>
      </c>
      <c r="CV5" s="4" t="s">
        <v>98</v>
      </c>
      <c r="CW5" s="4" t="s">
        <v>99</v>
      </c>
      <c r="CX5" s="4" t="s">
        <v>100</v>
      </c>
      <c r="CY5" s="4" t="s">
        <v>101</v>
      </c>
      <c r="CZ5" s="4" t="s">
        <v>102</v>
      </c>
      <c r="DA5" s="4" t="s">
        <v>103</v>
      </c>
      <c r="DB5" s="4" t="s">
        <v>104</v>
      </c>
      <c r="DC5" s="4" t="s">
        <v>105</v>
      </c>
      <c r="DD5" s="4" t="s">
        <v>106</v>
      </c>
      <c r="DE5" s="4" t="s">
        <v>107</v>
      </c>
      <c r="DF5" s="4" t="s">
        <v>108</v>
      </c>
      <c r="DG5" s="4" t="s">
        <v>109</v>
      </c>
      <c r="DH5" s="6" t="s">
        <v>110</v>
      </c>
      <c r="DI5" s="7" t="s">
        <v>111</v>
      </c>
      <c r="DJ5" s="8" t="s">
        <v>112</v>
      </c>
      <c r="DK5" s="8" t="s">
        <v>113</v>
      </c>
      <c r="DL5" s="9" t="s">
        <v>114</v>
      </c>
      <c r="DM5" s="10" t="s">
        <v>115</v>
      </c>
    </row>
    <row r="6" spans="1:117" x14ac:dyDescent="0.25">
      <c r="A6" s="11" t="str">
        <f t="shared" ref="A6:A69" si="0">D6&amp;" "&amp;"-"&amp;" "&amp;F6</f>
        <v>AMANDA HILL - UNIT WILAYAH UTARA</v>
      </c>
      <c r="B6" s="12">
        <v>11103442</v>
      </c>
      <c r="C6" s="12" t="s">
        <v>548</v>
      </c>
      <c r="D6" s="13" t="s">
        <v>311</v>
      </c>
      <c r="E6" t="s">
        <v>116</v>
      </c>
      <c r="F6" t="s">
        <v>351</v>
      </c>
      <c r="G6" t="s">
        <v>353</v>
      </c>
      <c r="H6" t="s">
        <v>355</v>
      </c>
      <c r="I6" t="s">
        <v>400</v>
      </c>
      <c r="J6" t="s">
        <v>440</v>
      </c>
      <c r="K6" t="s">
        <v>117</v>
      </c>
      <c r="L6" t="s">
        <v>118</v>
      </c>
      <c r="M6">
        <v>0</v>
      </c>
      <c r="N6">
        <v>0</v>
      </c>
      <c r="O6">
        <v>0</v>
      </c>
      <c r="P6">
        <v>0</v>
      </c>
      <c r="Q6">
        <v>8000000</v>
      </c>
      <c r="R6">
        <v>0</v>
      </c>
      <c r="S6">
        <v>0</v>
      </c>
      <c r="T6">
        <v>650000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85635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85635</v>
      </c>
      <c r="CM6">
        <v>113760</v>
      </c>
      <c r="CN6">
        <v>56880</v>
      </c>
      <c r="CO6">
        <v>56880</v>
      </c>
      <c r="CP6">
        <v>0</v>
      </c>
      <c r="CQ6">
        <v>0</v>
      </c>
      <c r="CR6">
        <v>0</v>
      </c>
      <c r="CS6">
        <v>0</v>
      </c>
      <c r="CT6">
        <v>199080</v>
      </c>
      <c r="CU6">
        <v>0</v>
      </c>
      <c r="CV6">
        <v>17064</v>
      </c>
      <c r="CW6">
        <v>50623</v>
      </c>
      <c r="CX6">
        <v>210456</v>
      </c>
      <c r="CY6">
        <v>113760</v>
      </c>
      <c r="CZ6">
        <v>227520</v>
      </c>
      <c r="DA6">
        <v>0</v>
      </c>
      <c r="DB6">
        <v>0</v>
      </c>
      <c r="DC6">
        <v>0</v>
      </c>
      <c r="DD6">
        <v>0</v>
      </c>
      <c r="DE6">
        <v>426600</v>
      </c>
      <c r="DF6">
        <v>0</v>
      </c>
      <c r="DG6">
        <v>0</v>
      </c>
      <c r="DH6" s="14">
        <v>4691260</v>
      </c>
      <c r="DI6" s="15" t="s">
        <v>675</v>
      </c>
      <c r="DJ6" s="11" t="str">
        <f t="shared" ref="DJ6:DJ69" si="1">D6</f>
        <v>AMANDA HILL</v>
      </c>
      <c r="DK6" s="16" t="s">
        <v>604</v>
      </c>
      <c r="DL6" s="17" t="s">
        <v>838</v>
      </c>
      <c r="DM6" s="16">
        <v>6211111</v>
      </c>
    </row>
    <row r="7" spans="1:117" x14ac:dyDescent="0.25">
      <c r="A7" s="11" t="str">
        <f t="shared" si="0"/>
        <v>AMANDA JACKSON - UNIT WILAYAH UTARA</v>
      </c>
      <c r="B7" s="12">
        <v>11101711</v>
      </c>
      <c r="C7" s="12" t="s">
        <v>584</v>
      </c>
      <c r="D7" s="13" t="s">
        <v>330</v>
      </c>
      <c r="E7" t="s">
        <v>116</v>
      </c>
      <c r="F7" t="s">
        <v>351</v>
      </c>
      <c r="G7" t="s">
        <v>353</v>
      </c>
      <c r="H7" t="s">
        <v>355</v>
      </c>
      <c r="I7" t="s">
        <v>400</v>
      </c>
      <c r="J7" t="s">
        <v>440</v>
      </c>
      <c r="K7" t="s">
        <v>117</v>
      </c>
      <c r="L7" t="s">
        <v>118</v>
      </c>
      <c r="M7">
        <v>2354000</v>
      </c>
      <c r="N7">
        <v>7846000</v>
      </c>
      <c r="O7">
        <v>0</v>
      </c>
      <c r="P7">
        <v>0</v>
      </c>
      <c r="Q7">
        <v>0</v>
      </c>
      <c r="R7">
        <v>0</v>
      </c>
      <c r="S7">
        <v>1800000</v>
      </c>
      <c r="T7">
        <v>0</v>
      </c>
      <c r="U7">
        <v>1131000</v>
      </c>
      <c r="V7">
        <v>225000</v>
      </c>
      <c r="W7">
        <v>0</v>
      </c>
      <c r="X7">
        <v>600000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2500000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8021392</v>
      </c>
      <c r="BJ7">
        <v>0</v>
      </c>
      <c r="BK7">
        <v>0</v>
      </c>
      <c r="BL7">
        <v>100000</v>
      </c>
      <c r="BM7">
        <v>20000</v>
      </c>
      <c r="BN7">
        <v>1000</v>
      </c>
      <c r="BO7">
        <v>0</v>
      </c>
      <c r="BP7">
        <v>0</v>
      </c>
      <c r="BQ7">
        <v>286200</v>
      </c>
      <c r="BR7">
        <v>0</v>
      </c>
      <c r="BS7">
        <v>0</v>
      </c>
      <c r="BT7">
        <v>0</v>
      </c>
      <c r="BU7">
        <v>0</v>
      </c>
      <c r="BV7">
        <v>1537500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8021392</v>
      </c>
      <c r="CM7">
        <v>215580</v>
      </c>
      <c r="CN7">
        <v>107790</v>
      </c>
      <c r="CO7">
        <v>89397</v>
      </c>
      <c r="CP7">
        <v>0</v>
      </c>
      <c r="CQ7">
        <v>34060</v>
      </c>
      <c r="CR7">
        <v>0</v>
      </c>
      <c r="CS7">
        <v>110695</v>
      </c>
      <c r="CT7">
        <v>0</v>
      </c>
      <c r="CU7">
        <v>0</v>
      </c>
      <c r="CV7">
        <v>32337</v>
      </c>
      <c r="CW7">
        <v>95933</v>
      </c>
      <c r="CX7">
        <v>398823</v>
      </c>
      <c r="CY7">
        <v>178794</v>
      </c>
      <c r="CZ7">
        <v>431160</v>
      </c>
      <c r="DA7">
        <v>0</v>
      </c>
      <c r="DB7">
        <v>68120</v>
      </c>
      <c r="DC7">
        <v>115804</v>
      </c>
      <c r="DD7">
        <v>0</v>
      </c>
      <c r="DE7">
        <v>0</v>
      </c>
      <c r="DF7">
        <v>0</v>
      </c>
      <c r="DG7">
        <v>0</v>
      </c>
      <c r="DH7" s="14">
        <v>13953778</v>
      </c>
      <c r="DI7" s="15" t="s">
        <v>804</v>
      </c>
      <c r="DJ7" s="11" t="str">
        <f t="shared" si="1"/>
        <v>AMANDA JACKSON</v>
      </c>
      <c r="DK7" s="16" t="s">
        <v>604</v>
      </c>
      <c r="DL7" s="17" t="s">
        <v>838</v>
      </c>
      <c r="DM7" s="16">
        <v>6211111</v>
      </c>
    </row>
    <row r="8" spans="1:117" x14ac:dyDescent="0.25">
      <c r="A8" s="11" t="str">
        <f t="shared" si="0"/>
        <v>ANDREW KING - UNIT WILAYAH UTARA</v>
      </c>
      <c r="B8" s="12">
        <v>11104232</v>
      </c>
      <c r="C8" s="12" t="s">
        <v>531</v>
      </c>
      <c r="D8" s="13" t="s">
        <v>250</v>
      </c>
      <c r="E8" t="s">
        <v>116</v>
      </c>
      <c r="F8" t="s">
        <v>351</v>
      </c>
      <c r="G8" t="s">
        <v>353</v>
      </c>
      <c r="H8" t="s">
        <v>358</v>
      </c>
      <c r="I8" t="s">
        <v>400</v>
      </c>
      <c r="J8" t="s">
        <v>440</v>
      </c>
      <c r="K8" t="s">
        <v>117</v>
      </c>
      <c r="L8" t="s">
        <v>118</v>
      </c>
      <c r="M8">
        <v>942000</v>
      </c>
      <c r="N8">
        <v>2729000</v>
      </c>
      <c r="O8">
        <v>0</v>
      </c>
      <c r="P8">
        <v>0</v>
      </c>
      <c r="Q8">
        <v>0</v>
      </c>
      <c r="R8">
        <v>0</v>
      </c>
      <c r="S8">
        <v>0</v>
      </c>
      <c r="T8">
        <v>650000</v>
      </c>
      <c r="U8">
        <v>1613000</v>
      </c>
      <c r="V8">
        <v>175000</v>
      </c>
      <c r="W8">
        <v>0</v>
      </c>
      <c r="X8">
        <v>150000</v>
      </c>
      <c r="Y8">
        <v>0</v>
      </c>
      <c r="Z8">
        <v>0</v>
      </c>
      <c r="AA8">
        <v>0</v>
      </c>
      <c r="AB8">
        <v>0</v>
      </c>
      <c r="AC8">
        <v>0</v>
      </c>
      <c r="AD8">
        <v>676500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88597</v>
      </c>
      <c r="BJ8">
        <v>3125872</v>
      </c>
      <c r="BK8">
        <v>0</v>
      </c>
      <c r="BL8">
        <v>0</v>
      </c>
      <c r="BM8">
        <v>20000</v>
      </c>
      <c r="BN8">
        <v>1000</v>
      </c>
      <c r="BO8">
        <v>0</v>
      </c>
      <c r="BP8">
        <v>0</v>
      </c>
      <c r="BQ8">
        <v>25500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88597</v>
      </c>
      <c r="CM8">
        <v>107060</v>
      </c>
      <c r="CN8">
        <v>53530</v>
      </c>
      <c r="CO8">
        <v>53530</v>
      </c>
      <c r="CP8">
        <v>0</v>
      </c>
      <c r="CQ8">
        <v>0</v>
      </c>
      <c r="CR8">
        <v>0</v>
      </c>
      <c r="CS8">
        <v>0</v>
      </c>
      <c r="CT8">
        <v>187355</v>
      </c>
      <c r="CU8">
        <v>0</v>
      </c>
      <c r="CV8">
        <v>16059</v>
      </c>
      <c r="CW8">
        <v>47642</v>
      </c>
      <c r="CX8">
        <v>198061</v>
      </c>
      <c r="CY8">
        <v>107060</v>
      </c>
      <c r="CZ8">
        <v>214120</v>
      </c>
      <c r="DA8">
        <v>0</v>
      </c>
      <c r="DB8">
        <v>0</v>
      </c>
      <c r="DC8">
        <v>0</v>
      </c>
      <c r="DD8">
        <v>0</v>
      </c>
      <c r="DE8">
        <v>401475</v>
      </c>
      <c r="DF8">
        <v>0</v>
      </c>
      <c r="DG8">
        <v>0</v>
      </c>
      <c r="DH8" s="14">
        <v>3361653</v>
      </c>
      <c r="DI8" s="15" t="s">
        <v>702</v>
      </c>
      <c r="DJ8" s="11" t="str">
        <f t="shared" si="1"/>
        <v>ANDREW KING</v>
      </c>
      <c r="DK8" s="16" t="s">
        <v>604</v>
      </c>
      <c r="DL8" s="17" t="s">
        <v>860</v>
      </c>
      <c r="DM8" s="16">
        <v>6211111</v>
      </c>
    </row>
    <row r="9" spans="1:117" x14ac:dyDescent="0.25">
      <c r="A9" s="11" t="str">
        <f t="shared" si="0"/>
        <v>BRIAN RODRIGUEZ - UNIT WILAYAH UTARA</v>
      </c>
      <c r="B9" s="12">
        <v>11101503</v>
      </c>
      <c r="C9" s="12" t="s">
        <v>575</v>
      </c>
      <c r="D9" s="13" t="s">
        <v>248</v>
      </c>
      <c r="E9" t="s">
        <v>116</v>
      </c>
      <c r="F9" t="s">
        <v>351</v>
      </c>
      <c r="G9" t="s">
        <v>353</v>
      </c>
      <c r="H9" t="s">
        <v>358</v>
      </c>
      <c r="I9" t="s">
        <v>400</v>
      </c>
      <c r="J9" t="s">
        <v>440</v>
      </c>
      <c r="K9" t="s">
        <v>117</v>
      </c>
      <c r="L9" t="s">
        <v>118</v>
      </c>
      <c r="M9">
        <v>1509500</v>
      </c>
      <c r="N9">
        <v>4400000</v>
      </c>
      <c r="O9">
        <v>0</v>
      </c>
      <c r="P9">
        <v>0</v>
      </c>
      <c r="Q9">
        <v>0</v>
      </c>
      <c r="R9">
        <v>0</v>
      </c>
      <c r="S9">
        <v>0</v>
      </c>
      <c r="T9">
        <v>650000</v>
      </c>
      <c r="U9">
        <v>1613000</v>
      </c>
      <c r="V9">
        <v>175000</v>
      </c>
      <c r="W9">
        <v>0</v>
      </c>
      <c r="X9">
        <v>100000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86176</v>
      </c>
      <c r="BJ9">
        <v>896851</v>
      </c>
      <c r="BK9">
        <v>0</v>
      </c>
      <c r="BL9">
        <v>100000</v>
      </c>
      <c r="BM9">
        <v>20000</v>
      </c>
      <c r="BN9">
        <v>1000</v>
      </c>
      <c r="BO9">
        <v>0</v>
      </c>
      <c r="BP9">
        <v>0</v>
      </c>
      <c r="BQ9">
        <v>1567500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86176</v>
      </c>
      <c r="CM9">
        <v>141120</v>
      </c>
      <c r="CN9">
        <v>70560</v>
      </c>
      <c r="CO9">
        <v>70560</v>
      </c>
      <c r="CP9">
        <v>0</v>
      </c>
      <c r="CQ9">
        <v>23260</v>
      </c>
      <c r="CR9">
        <v>0</v>
      </c>
      <c r="CS9">
        <v>75595</v>
      </c>
      <c r="CT9">
        <v>0</v>
      </c>
      <c r="CU9">
        <v>0</v>
      </c>
      <c r="CV9">
        <v>21168</v>
      </c>
      <c r="CW9">
        <v>62798</v>
      </c>
      <c r="CX9">
        <v>261072</v>
      </c>
      <c r="CY9">
        <v>141120</v>
      </c>
      <c r="CZ9">
        <v>282240</v>
      </c>
      <c r="DA9">
        <v>0</v>
      </c>
      <c r="DB9">
        <v>46520</v>
      </c>
      <c r="DC9">
        <v>79084</v>
      </c>
      <c r="DD9">
        <v>0</v>
      </c>
      <c r="DE9">
        <v>0</v>
      </c>
      <c r="DF9">
        <v>0</v>
      </c>
      <c r="DG9">
        <v>0</v>
      </c>
      <c r="DH9" s="14">
        <v>5481054</v>
      </c>
      <c r="DI9" s="15" t="s">
        <v>795</v>
      </c>
      <c r="DJ9" s="11" t="str">
        <f t="shared" si="1"/>
        <v>BRIAN RODRIGUEZ</v>
      </c>
      <c r="DK9" s="16" t="s">
        <v>604</v>
      </c>
      <c r="DL9" s="17" t="s">
        <v>821</v>
      </c>
      <c r="DM9" s="16">
        <v>6211111</v>
      </c>
    </row>
    <row r="10" spans="1:117" x14ac:dyDescent="0.25">
      <c r="A10" s="11" t="str">
        <f t="shared" si="0"/>
        <v>CAROL ANDERSON - UNIT WILAYAH UTARA</v>
      </c>
      <c r="B10" s="12">
        <v>11103553</v>
      </c>
      <c r="C10" s="12" t="s">
        <v>533</v>
      </c>
      <c r="D10" s="13" t="s">
        <v>349</v>
      </c>
      <c r="E10" t="s">
        <v>116</v>
      </c>
      <c r="F10" t="s">
        <v>351</v>
      </c>
      <c r="G10" t="s">
        <v>353</v>
      </c>
      <c r="H10" t="s">
        <v>355</v>
      </c>
      <c r="I10" t="s">
        <v>400</v>
      </c>
      <c r="J10" t="s">
        <v>440</v>
      </c>
      <c r="K10" t="s">
        <v>117</v>
      </c>
      <c r="L10" t="s">
        <v>118</v>
      </c>
      <c r="M10">
        <v>1061550</v>
      </c>
      <c r="N10">
        <v>3048000</v>
      </c>
      <c r="O10">
        <v>0</v>
      </c>
      <c r="P10">
        <v>0</v>
      </c>
      <c r="Q10">
        <v>0</v>
      </c>
      <c r="R10">
        <v>0</v>
      </c>
      <c r="S10">
        <v>0</v>
      </c>
      <c r="T10">
        <v>650000</v>
      </c>
      <c r="U10">
        <v>1635000</v>
      </c>
      <c r="V10">
        <v>175000</v>
      </c>
      <c r="W10">
        <v>0</v>
      </c>
      <c r="X10">
        <v>150000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480500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73414</v>
      </c>
      <c r="BJ10">
        <v>10000</v>
      </c>
      <c r="BK10">
        <v>0</v>
      </c>
      <c r="BL10">
        <v>100000</v>
      </c>
      <c r="BM10">
        <v>20000</v>
      </c>
      <c r="BN10">
        <v>1000</v>
      </c>
      <c r="BO10">
        <v>0</v>
      </c>
      <c r="BP10">
        <v>0</v>
      </c>
      <c r="BQ10">
        <v>126500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73414</v>
      </c>
      <c r="CM10">
        <v>114200</v>
      </c>
      <c r="CN10">
        <v>57100</v>
      </c>
      <c r="CO10">
        <v>57100</v>
      </c>
      <c r="CP10">
        <v>0</v>
      </c>
      <c r="CQ10">
        <v>0</v>
      </c>
      <c r="CR10">
        <v>0</v>
      </c>
      <c r="CS10">
        <v>0</v>
      </c>
      <c r="CT10">
        <v>199850</v>
      </c>
      <c r="CU10">
        <v>0</v>
      </c>
      <c r="CV10">
        <v>17130</v>
      </c>
      <c r="CW10">
        <v>50819</v>
      </c>
      <c r="CX10">
        <v>211270</v>
      </c>
      <c r="CY10">
        <v>114200</v>
      </c>
      <c r="CZ10">
        <v>228400</v>
      </c>
      <c r="DA10">
        <v>0</v>
      </c>
      <c r="DB10">
        <v>0</v>
      </c>
      <c r="DC10">
        <v>0</v>
      </c>
      <c r="DD10">
        <v>0</v>
      </c>
      <c r="DE10">
        <v>428250</v>
      </c>
      <c r="DF10">
        <v>0</v>
      </c>
      <c r="DG10">
        <v>0</v>
      </c>
      <c r="DH10" s="14">
        <v>6514300</v>
      </c>
      <c r="DI10" s="15" t="s">
        <v>678</v>
      </c>
      <c r="DJ10" s="11" t="str">
        <f t="shared" si="1"/>
        <v>CAROL ANDERSON</v>
      </c>
      <c r="DK10" s="16" t="s">
        <v>604</v>
      </c>
      <c r="DL10" s="17" t="s">
        <v>829</v>
      </c>
      <c r="DM10" s="16">
        <v>6211111</v>
      </c>
    </row>
    <row r="11" spans="1:117" x14ac:dyDescent="0.25">
      <c r="A11" s="11" t="str">
        <f t="shared" si="0"/>
        <v>CAROL RAMIREZ - UNIT WILAYAH UTARA</v>
      </c>
      <c r="B11" s="12">
        <v>11103710</v>
      </c>
      <c r="C11" s="12" t="s">
        <v>529</v>
      </c>
      <c r="D11" s="13" t="s">
        <v>236</v>
      </c>
      <c r="E11" t="s">
        <v>116</v>
      </c>
      <c r="F11" t="s">
        <v>351</v>
      </c>
      <c r="G11" t="s">
        <v>353</v>
      </c>
      <c r="H11" t="s">
        <v>355</v>
      </c>
      <c r="I11" t="s">
        <v>400</v>
      </c>
      <c r="J11" t="s">
        <v>440</v>
      </c>
      <c r="K11" t="s">
        <v>117</v>
      </c>
      <c r="L11" t="s">
        <v>118</v>
      </c>
      <c r="M11">
        <v>1004150</v>
      </c>
      <c r="N11">
        <v>2876500</v>
      </c>
      <c r="O11">
        <v>0</v>
      </c>
      <c r="P11">
        <v>0</v>
      </c>
      <c r="Q11">
        <v>0</v>
      </c>
      <c r="R11">
        <v>0</v>
      </c>
      <c r="S11">
        <v>0</v>
      </c>
      <c r="T11">
        <v>650000</v>
      </c>
      <c r="U11">
        <v>1613000</v>
      </c>
      <c r="V11">
        <v>175000</v>
      </c>
      <c r="W11">
        <v>0</v>
      </c>
      <c r="X11">
        <v>150000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1635000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124401</v>
      </c>
      <c r="BJ11">
        <v>736274</v>
      </c>
      <c r="BK11">
        <v>0</v>
      </c>
      <c r="BL11">
        <v>100000</v>
      </c>
      <c r="BM11">
        <v>20000</v>
      </c>
      <c r="BN11">
        <v>1000</v>
      </c>
      <c r="BO11">
        <v>0</v>
      </c>
      <c r="BP11">
        <v>0</v>
      </c>
      <c r="BQ11">
        <v>300900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124401</v>
      </c>
      <c r="CM11">
        <v>109840</v>
      </c>
      <c r="CN11">
        <v>54920</v>
      </c>
      <c r="CO11">
        <v>54920</v>
      </c>
      <c r="CP11">
        <v>0</v>
      </c>
      <c r="CQ11">
        <v>0</v>
      </c>
      <c r="CR11">
        <v>0</v>
      </c>
      <c r="CS11">
        <v>0</v>
      </c>
      <c r="CT11">
        <v>192220</v>
      </c>
      <c r="CU11">
        <v>0</v>
      </c>
      <c r="CV11">
        <v>16476</v>
      </c>
      <c r="CW11">
        <v>48879</v>
      </c>
      <c r="CX11">
        <v>203204</v>
      </c>
      <c r="CY11">
        <v>109840</v>
      </c>
      <c r="CZ11">
        <v>219680</v>
      </c>
      <c r="DA11">
        <v>0</v>
      </c>
      <c r="DB11">
        <v>0</v>
      </c>
      <c r="DC11">
        <v>0</v>
      </c>
      <c r="DD11">
        <v>0</v>
      </c>
      <c r="DE11">
        <v>411900</v>
      </c>
      <c r="DF11">
        <v>0</v>
      </c>
      <c r="DG11">
        <v>0</v>
      </c>
      <c r="DH11" s="14">
        <v>6533576</v>
      </c>
      <c r="DI11" s="15" t="s">
        <v>682</v>
      </c>
      <c r="DJ11" s="11" t="str">
        <f t="shared" si="1"/>
        <v>CAROL RAMIREZ</v>
      </c>
      <c r="DK11" s="16" t="s">
        <v>604</v>
      </c>
      <c r="DL11" s="17" t="s">
        <v>829</v>
      </c>
      <c r="DM11" s="16">
        <v>6211111</v>
      </c>
    </row>
    <row r="12" spans="1:117" x14ac:dyDescent="0.25">
      <c r="A12" s="11" t="str">
        <f t="shared" si="0"/>
        <v>CHARLES SMITH - UNIT WILAYAH UTARA</v>
      </c>
      <c r="B12" s="12">
        <v>11101955</v>
      </c>
      <c r="C12" s="12" t="s">
        <v>588</v>
      </c>
      <c r="D12" s="13" t="s">
        <v>172</v>
      </c>
      <c r="E12" t="s">
        <v>116</v>
      </c>
      <c r="F12" t="s">
        <v>351</v>
      </c>
      <c r="G12" t="s">
        <v>353</v>
      </c>
      <c r="H12" t="s">
        <v>355</v>
      </c>
      <c r="I12" t="s">
        <v>400</v>
      </c>
      <c r="J12" t="s">
        <v>440</v>
      </c>
      <c r="K12" t="s">
        <v>117</v>
      </c>
      <c r="L12" t="s">
        <v>118</v>
      </c>
      <c r="M12">
        <v>1548250</v>
      </c>
      <c r="N12">
        <v>4614000</v>
      </c>
      <c r="O12">
        <v>0</v>
      </c>
      <c r="P12">
        <v>0</v>
      </c>
      <c r="Q12">
        <v>0</v>
      </c>
      <c r="R12">
        <v>0</v>
      </c>
      <c r="S12">
        <v>0</v>
      </c>
      <c r="T12">
        <v>650000</v>
      </c>
      <c r="U12">
        <v>1613000</v>
      </c>
      <c r="V12">
        <v>175000</v>
      </c>
      <c r="W12">
        <v>0</v>
      </c>
      <c r="X12">
        <v>150000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157393</v>
      </c>
      <c r="BJ12">
        <v>2170073</v>
      </c>
      <c r="BK12">
        <v>0</v>
      </c>
      <c r="BL12">
        <v>100000</v>
      </c>
      <c r="BM12">
        <v>20000</v>
      </c>
      <c r="BN12">
        <v>1000</v>
      </c>
      <c r="BO12">
        <v>0</v>
      </c>
      <c r="BP12">
        <v>0</v>
      </c>
      <c r="BQ12">
        <v>89000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157393</v>
      </c>
      <c r="CM12">
        <v>144960</v>
      </c>
      <c r="CN12">
        <v>72480</v>
      </c>
      <c r="CO12">
        <v>72480</v>
      </c>
      <c r="CP12">
        <v>0</v>
      </c>
      <c r="CQ12">
        <v>23720</v>
      </c>
      <c r="CR12">
        <v>0</v>
      </c>
      <c r="CS12">
        <v>77090</v>
      </c>
      <c r="CT12">
        <v>0</v>
      </c>
      <c r="CU12">
        <v>0</v>
      </c>
      <c r="CV12">
        <v>21744</v>
      </c>
      <c r="CW12">
        <v>64507</v>
      </c>
      <c r="CX12">
        <v>268176</v>
      </c>
      <c r="CY12">
        <v>144960</v>
      </c>
      <c r="CZ12">
        <v>289920</v>
      </c>
      <c r="DA12">
        <v>0</v>
      </c>
      <c r="DB12">
        <v>47440</v>
      </c>
      <c r="DC12">
        <v>80648</v>
      </c>
      <c r="DD12">
        <v>0</v>
      </c>
      <c r="DE12">
        <v>0</v>
      </c>
      <c r="DF12">
        <v>0</v>
      </c>
      <c r="DG12">
        <v>0</v>
      </c>
      <c r="DH12" s="14">
        <v>5979447</v>
      </c>
      <c r="DI12" s="15" t="s">
        <v>808</v>
      </c>
      <c r="DJ12" s="11" t="str">
        <f t="shared" si="1"/>
        <v>CHARLES SMITH</v>
      </c>
      <c r="DK12" s="16" t="s">
        <v>604</v>
      </c>
      <c r="DL12" s="17" t="s">
        <v>852</v>
      </c>
      <c r="DM12" s="16">
        <v>6211111</v>
      </c>
    </row>
    <row r="13" spans="1:117" x14ac:dyDescent="0.25">
      <c r="A13" s="11" t="str">
        <f t="shared" si="0"/>
        <v>DAVID ROBINSON - UNIT WILAYAH UTARA</v>
      </c>
      <c r="B13" s="12">
        <v>11101135</v>
      </c>
      <c r="C13" s="12" t="s">
        <v>560</v>
      </c>
      <c r="D13" s="13" t="s">
        <v>345</v>
      </c>
      <c r="E13" t="s">
        <v>116</v>
      </c>
      <c r="F13" t="s">
        <v>351</v>
      </c>
      <c r="G13" t="s">
        <v>353</v>
      </c>
      <c r="H13" t="s">
        <v>358</v>
      </c>
      <c r="I13" t="s">
        <v>400</v>
      </c>
      <c r="J13" t="s">
        <v>440</v>
      </c>
      <c r="K13" t="s">
        <v>117</v>
      </c>
      <c r="L13" t="s">
        <v>118</v>
      </c>
      <c r="M13">
        <v>3254700</v>
      </c>
      <c r="N13">
        <v>6505500</v>
      </c>
      <c r="O13">
        <v>0</v>
      </c>
      <c r="P13">
        <v>0</v>
      </c>
      <c r="Q13">
        <v>0</v>
      </c>
      <c r="R13">
        <v>0</v>
      </c>
      <c r="S13">
        <v>0</v>
      </c>
      <c r="T13">
        <v>650000</v>
      </c>
      <c r="U13">
        <v>1613000</v>
      </c>
      <c r="V13">
        <v>175000</v>
      </c>
      <c r="W13">
        <v>0</v>
      </c>
      <c r="X13">
        <v>150000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1742650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1069602</v>
      </c>
      <c r="BJ13">
        <v>1680485</v>
      </c>
      <c r="BK13">
        <v>0</v>
      </c>
      <c r="BL13">
        <v>100000</v>
      </c>
      <c r="BM13">
        <v>20000</v>
      </c>
      <c r="BN13">
        <v>1000</v>
      </c>
      <c r="BO13">
        <v>0</v>
      </c>
      <c r="BP13">
        <v>0</v>
      </c>
      <c r="BQ13">
        <v>4010000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1069602</v>
      </c>
      <c r="CM13">
        <v>200980</v>
      </c>
      <c r="CN13">
        <v>100490</v>
      </c>
      <c r="CO13">
        <v>89397</v>
      </c>
      <c r="CP13">
        <v>0</v>
      </c>
      <c r="CQ13">
        <v>49980</v>
      </c>
      <c r="CR13">
        <v>0</v>
      </c>
      <c r="CS13">
        <v>162435</v>
      </c>
      <c r="CT13">
        <v>0</v>
      </c>
      <c r="CU13">
        <v>0</v>
      </c>
      <c r="CV13">
        <v>30147</v>
      </c>
      <c r="CW13">
        <v>89436</v>
      </c>
      <c r="CX13">
        <v>371813</v>
      </c>
      <c r="CY13">
        <v>178794</v>
      </c>
      <c r="CZ13">
        <v>401960</v>
      </c>
      <c r="DA13">
        <v>0</v>
      </c>
      <c r="DB13">
        <v>99960</v>
      </c>
      <c r="DC13">
        <v>169932</v>
      </c>
      <c r="DD13">
        <v>0</v>
      </c>
      <c r="DE13">
        <v>0</v>
      </c>
      <c r="DF13">
        <v>0</v>
      </c>
      <c r="DG13">
        <v>0</v>
      </c>
      <c r="DH13" s="14">
        <v>7676083</v>
      </c>
      <c r="DI13" s="15" t="s">
        <v>780</v>
      </c>
      <c r="DJ13" s="11" t="str">
        <f t="shared" si="1"/>
        <v>DAVID ROBINSON</v>
      </c>
      <c r="DK13" s="16" t="s">
        <v>604</v>
      </c>
      <c r="DL13" s="17" t="s">
        <v>840</v>
      </c>
      <c r="DM13" s="16">
        <v>6211111</v>
      </c>
    </row>
    <row r="14" spans="1:117" x14ac:dyDescent="0.25">
      <c r="A14" s="11" t="str">
        <f t="shared" si="0"/>
        <v>GEORGE JOHNSON - UNIT WILAYAH UTARA</v>
      </c>
      <c r="B14" s="12">
        <v>11115116</v>
      </c>
      <c r="C14" s="12" t="s">
        <v>532</v>
      </c>
      <c r="D14" s="13" t="s">
        <v>241</v>
      </c>
      <c r="E14" t="s">
        <v>116</v>
      </c>
      <c r="F14" t="s">
        <v>351</v>
      </c>
      <c r="G14" t="s">
        <v>353</v>
      </c>
      <c r="H14" t="s">
        <v>355</v>
      </c>
      <c r="I14" t="s">
        <v>400</v>
      </c>
      <c r="J14" t="s">
        <v>440</v>
      </c>
      <c r="K14" t="s">
        <v>119</v>
      </c>
      <c r="L14" t="s">
        <v>120</v>
      </c>
      <c r="M14">
        <v>0</v>
      </c>
      <c r="N14">
        <v>0</v>
      </c>
      <c r="O14">
        <v>0</v>
      </c>
      <c r="P14">
        <v>0</v>
      </c>
      <c r="Q14">
        <v>4961753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200000</v>
      </c>
      <c r="BK14">
        <v>0</v>
      </c>
      <c r="BL14">
        <v>100000</v>
      </c>
      <c r="BM14">
        <v>20000</v>
      </c>
      <c r="BN14">
        <v>1000</v>
      </c>
      <c r="BO14">
        <v>0</v>
      </c>
      <c r="BP14">
        <v>0</v>
      </c>
      <c r="BQ14">
        <v>100000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99235</v>
      </c>
      <c r="CN14">
        <v>49618</v>
      </c>
      <c r="CO14">
        <v>49618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14885</v>
      </c>
      <c r="CW14">
        <v>44160</v>
      </c>
      <c r="CX14">
        <v>183585</v>
      </c>
      <c r="CY14">
        <v>99235</v>
      </c>
      <c r="CZ14">
        <v>198470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 s="14">
        <v>4342282</v>
      </c>
      <c r="DI14" s="11" t="s">
        <v>665</v>
      </c>
      <c r="DJ14" s="11" t="str">
        <f t="shared" si="1"/>
        <v>GEORGE JOHNSON</v>
      </c>
      <c r="DK14" s="16" t="s">
        <v>604</v>
      </c>
      <c r="DL14" s="16" t="s">
        <v>851</v>
      </c>
      <c r="DM14" s="16">
        <v>6211111</v>
      </c>
    </row>
    <row r="15" spans="1:117" x14ac:dyDescent="0.25">
      <c r="A15" s="11" t="str">
        <f t="shared" si="0"/>
        <v>GEORGE WILLIAMS - UNIT WILAYAH UTARA</v>
      </c>
      <c r="B15" s="12">
        <v>11101537</v>
      </c>
      <c r="C15" s="12" t="s">
        <v>577</v>
      </c>
      <c r="D15" s="13" t="s">
        <v>346</v>
      </c>
      <c r="E15" t="s">
        <v>116</v>
      </c>
      <c r="F15" t="s">
        <v>351</v>
      </c>
      <c r="G15" t="s">
        <v>353</v>
      </c>
      <c r="H15" t="s">
        <v>358</v>
      </c>
      <c r="I15" t="s">
        <v>400</v>
      </c>
      <c r="J15" t="s">
        <v>440</v>
      </c>
      <c r="K15" t="s">
        <v>117</v>
      </c>
      <c r="L15" t="s">
        <v>118</v>
      </c>
      <c r="M15">
        <v>1825600</v>
      </c>
      <c r="N15">
        <v>6077500</v>
      </c>
      <c r="O15">
        <v>0</v>
      </c>
      <c r="P15">
        <v>0</v>
      </c>
      <c r="Q15">
        <v>0</v>
      </c>
      <c r="R15">
        <v>0</v>
      </c>
      <c r="S15">
        <v>1300000</v>
      </c>
      <c r="T15">
        <v>0</v>
      </c>
      <c r="U15">
        <v>1486000</v>
      </c>
      <c r="V15">
        <v>200000</v>
      </c>
      <c r="W15">
        <v>0</v>
      </c>
      <c r="X15">
        <v>450000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964131</v>
      </c>
      <c r="BJ15">
        <v>0</v>
      </c>
      <c r="BK15">
        <v>0</v>
      </c>
      <c r="BL15">
        <v>100000</v>
      </c>
      <c r="BM15">
        <v>20000</v>
      </c>
      <c r="BN15">
        <v>1000</v>
      </c>
      <c r="BO15">
        <v>0</v>
      </c>
      <c r="BP15">
        <v>0</v>
      </c>
      <c r="BQ15">
        <v>1579000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964131</v>
      </c>
      <c r="CM15">
        <v>182580</v>
      </c>
      <c r="CN15">
        <v>91290</v>
      </c>
      <c r="CO15">
        <v>89397</v>
      </c>
      <c r="CP15">
        <v>0</v>
      </c>
      <c r="CQ15">
        <v>27620</v>
      </c>
      <c r="CR15">
        <v>0</v>
      </c>
      <c r="CS15">
        <v>89765</v>
      </c>
      <c r="CT15">
        <v>0</v>
      </c>
      <c r="CU15">
        <v>0</v>
      </c>
      <c r="CV15">
        <v>27387</v>
      </c>
      <c r="CW15">
        <v>81248</v>
      </c>
      <c r="CX15">
        <v>337773</v>
      </c>
      <c r="CY15">
        <v>178794</v>
      </c>
      <c r="CZ15">
        <v>365160</v>
      </c>
      <c r="DA15">
        <v>0</v>
      </c>
      <c r="DB15">
        <v>55240</v>
      </c>
      <c r="DC15">
        <v>93908</v>
      </c>
      <c r="DD15">
        <v>0</v>
      </c>
      <c r="DE15">
        <v>0</v>
      </c>
      <c r="DF15">
        <v>0</v>
      </c>
      <c r="DG15">
        <v>0</v>
      </c>
      <c r="DH15" s="14">
        <v>9158448</v>
      </c>
      <c r="DI15" s="15" t="s">
        <v>797</v>
      </c>
      <c r="DJ15" s="11" t="str">
        <f t="shared" si="1"/>
        <v>GEORGE WILLIAMS</v>
      </c>
      <c r="DK15" s="16" t="s">
        <v>604</v>
      </c>
      <c r="DL15" s="17" t="s">
        <v>851</v>
      </c>
      <c r="DM15" s="16">
        <v>6211111</v>
      </c>
    </row>
    <row r="16" spans="1:117" x14ac:dyDescent="0.25">
      <c r="A16" s="11" t="str">
        <f t="shared" si="0"/>
        <v>JESSICA JACKSON - UNIT WILAYAH UTARA</v>
      </c>
      <c r="B16" s="12">
        <v>11101411</v>
      </c>
      <c r="C16" s="12">
        <v>11001411</v>
      </c>
      <c r="D16" s="13" t="s">
        <v>237</v>
      </c>
      <c r="E16" t="s">
        <v>124</v>
      </c>
      <c r="F16" t="s">
        <v>351</v>
      </c>
      <c r="G16" t="s">
        <v>353</v>
      </c>
      <c r="I16" t="s">
        <v>400</v>
      </c>
      <c r="J16" t="s">
        <v>440</v>
      </c>
      <c r="K16" t="s">
        <v>118</v>
      </c>
      <c r="L16" t="s">
        <v>125</v>
      </c>
      <c r="M16">
        <v>363000</v>
      </c>
      <c r="N16">
        <v>1140000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 s="14">
        <v>1503000</v>
      </c>
      <c r="DI16" s="11" t="s">
        <v>611</v>
      </c>
      <c r="DJ16" s="11" t="str">
        <f t="shared" si="1"/>
        <v>JESSICA JACKSON</v>
      </c>
      <c r="DK16" s="16" t="s">
        <v>604</v>
      </c>
      <c r="DL16" s="16" t="s">
        <v>826</v>
      </c>
      <c r="DM16" s="16">
        <v>6211111</v>
      </c>
    </row>
    <row r="17" spans="1:117" x14ac:dyDescent="0.25">
      <c r="A17" s="11" t="str">
        <f t="shared" si="0"/>
        <v>LINDA LOPEZ - UNIT WILAYAH UTARA</v>
      </c>
      <c r="B17" s="12">
        <v>11101657</v>
      </c>
      <c r="C17" s="12">
        <v>11001657</v>
      </c>
      <c r="D17" s="13" t="s">
        <v>207</v>
      </c>
      <c r="E17" t="s">
        <v>124</v>
      </c>
      <c r="F17" t="s">
        <v>351</v>
      </c>
      <c r="G17" t="s">
        <v>353</v>
      </c>
      <c r="I17" t="s">
        <v>400</v>
      </c>
      <c r="J17" t="s">
        <v>440</v>
      </c>
      <c r="K17" t="s">
        <v>118</v>
      </c>
      <c r="L17" t="s">
        <v>125</v>
      </c>
      <c r="M17">
        <v>384380</v>
      </c>
      <c r="N17">
        <v>1019700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 s="14">
        <v>1404080</v>
      </c>
      <c r="DI17" s="11" t="s">
        <v>612</v>
      </c>
      <c r="DJ17" s="11" t="str">
        <f t="shared" si="1"/>
        <v>LINDA LOPEZ</v>
      </c>
      <c r="DK17" s="16" t="s">
        <v>604</v>
      </c>
      <c r="DL17" s="16" t="s">
        <v>827</v>
      </c>
      <c r="DM17" s="16">
        <v>6211111</v>
      </c>
    </row>
    <row r="18" spans="1:117" x14ac:dyDescent="0.25">
      <c r="A18" s="11" t="str">
        <f t="shared" si="0"/>
        <v>MARGARET JACKSON - UNIT WILAYAH UTARA</v>
      </c>
      <c r="B18" s="12">
        <v>11100800</v>
      </c>
      <c r="C18" s="12">
        <v>11000800</v>
      </c>
      <c r="D18" s="13" t="s">
        <v>267</v>
      </c>
      <c r="E18" t="s">
        <v>124</v>
      </c>
      <c r="F18" t="s">
        <v>351</v>
      </c>
      <c r="G18" t="s">
        <v>353</v>
      </c>
      <c r="I18" t="s">
        <v>400</v>
      </c>
      <c r="J18" t="s">
        <v>440</v>
      </c>
      <c r="K18" t="s">
        <v>118</v>
      </c>
      <c r="L18" t="s">
        <v>125</v>
      </c>
      <c r="M18">
        <v>493500</v>
      </c>
      <c r="N18">
        <v>1107000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 s="14">
        <v>1600500</v>
      </c>
      <c r="DI18" s="11" t="s">
        <v>607</v>
      </c>
      <c r="DJ18" s="11" t="str">
        <f t="shared" si="1"/>
        <v>MARGARET JACKSON</v>
      </c>
      <c r="DK18" s="16" t="s">
        <v>604</v>
      </c>
      <c r="DL18" s="16" t="s">
        <v>822</v>
      </c>
      <c r="DM18" s="16">
        <v>6211111</v>
      </c>
    </row>
    <row r="19" spans="1:117" x14ac:dyDescent="0.25">
      <c r="A19" s="11" t="str">
        <f t="shared" si="0"/>
        <v>MARY MOORE - UNIT WILAYAH UTARA</v>
      </c>
      <c r="B19" s="12">
        <v>11104169</v>
      </c>
      <c r="C19" s="12" t="s">
        <v>530</v>
      </c>
      <c r="D19" s="13" t="s">
        <v>240</v>
      </c>
      <c r="E19" t="s">
        <v>116</v>
      </c>
      <c r="F19" t="s">
        <v>351</v>
      </c>
      <c r="G19" t="s">
        <v>353</v>
      </c>
      <c r="H19" t="s">
        <v>355</v>
      </c>
      <c r="I19" t="s">
        <v>400</v>
      </c>
      <c r="J19" t="s">
        <v>440</v>
      </c>
      <c r="K19" t="s">
        <v>117</v>
      </c>
      <c r="L19" t="s">
        <v>118</v>
      </c>
      <c r="M19">
        <v>942000</v>
      </c>
      <c r="N19">
        <v>2729000</v>
      </c>
      <c r="O19">
        <v>0</v>
      </c>
      <c r="P19">
        <v>0</v>
      </c>
      <c r="Q19">
        <v>0</v>
      </c>
      <c r="R19">
        <v>0</v>
      </c>
      <c r="S19">
        <v>0</v>
      </c>
      <c r="T19">
        <v>650000</v>
      </c>
      <c r="U19">
        <v>1613000</v>
      </c>
      <c r="V19">
        <v>175000</v>
      </c>
      <c r="W19">
        <v>0</v>
      </c>
      <c r="X19">
        <v>150000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853000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90831</v>
      </c>
      <c r="BJ19">
        <v>0</v>
      </c>
      <c r="BK19">
        <v>0</v>
      </c>
      <c r="BL19">
        <v>100000</v>
      </c>
      <c r="BM19">
        <v>20000</v>
      </c>
      <c r="BN19">
        <v>1000</v>
      </c>
      <c r="BO19">
        <v>0</v>
      </c>
      <c r="BP19">
        <v>0</v>
      </c>
      <c r="BQ19">
        <v>1200400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90831</v>
      </c>
      <c r="CM19">
        <v>107060</v>
      </c>
      <c r="CN19">
        <v>53530</v>
      </c>
      <c r="CO19">
        <v>53530</v>
      </c>
      <c r="CP19">
        <v>0</v>
      </c>
      <c r="CQ19">
        <v>0</v>
      </c>
      <c r="CR19">
        <v>0</v>
      </c>
      <c r="CS19">
        <v>0</v>
      </c>
      <c r="CT19">
        <v>187355</v>
      </c>
      <c r="CU19">
        <v>0</v>
      </c>
      <c r="CV19">
        <v>16059</v>
      </c>
      <c r="CW19">
        <v>47642</v>
      </c>
      <c r="CX19">
        <v>198061</v>
      </c>
      <c r="CY19">
        <v>107060</v>
      </c>
      <c r="CZ19">
        <v>214120</v>
      </c>
      <c r="DA19">
        <v>0</v>
      </c>
      <c r="DB19">
        <v>0</v>
      </c>
      <c r="DC19">
        <v>0</v>
      </c>
      <c r="DD19">
        <v>0</v>
      </c>
      <c r="DE19">
        <v>401475</v>
      </c>
      <c r="DF19">
        <v>0</v>
      </c>
      <c r="DG19">
        <v>0</v>
      </c>
      <c r="DH19" s="14">
        <v>5389125</v>
      </c>
      <c r="DI19" s="15" t="s">
        <v>699</v>
      </c>
      <c r="DJ19" s="11" t="str">
        <f t="shared" si="1"/>
        <v>MARY MOORE</v>
      </c>
      <c r="DK19" s="16" t="s">
        <v>604</v>
      </c>
      <c r="DL19" s="17" t="s">
        <v>862</v>
      </c>
      <c r="DM19" s="16">
        <v>6211111</v>
      </c>
    </row>
    <row r="20" spans="1:117" x14ac:dyDescent="0.25">
      <c r="A20" s="11" t="str">
        <f t="shared" si="0"/>
        <v>MICHELLE KING - UNIT WILAYAH UTARA</v>
      </c>
      <c r="B20" s="12">
        <v>11101379</v>
      </c>
      <c r="C20" s="12" t="s">
        <v>570</v>
      </c>
      <c r="D20" s="13" t="s">
        <v>329</v>
      </c>
      <c r="E20" t="s">
        <v>116</v>
      </c>
      <c r="F20" t="s">
        <v>351</v>
      </c>
      <c r="G20" t="s">
        <v>353</v>
      </c>
      <c r="H20" t="s">
        <v>355</v>
      </c>
      <c r="I20" t="s">
        <v>400</v>
      </c>
      <c r="J20" t="s">
        <v>440</v>
      </c>
      <c r="K20" t="s">
        <v>117</v>
      </c>
      <c r="L20" t="s">
        <v>118</v>
      </c>
      <c r="M20">
        <v>1463375</v>
      </c>
      <c r="N20">
        <v>4436700</v>
      </c>
      <c r="O20">
        <v>0</v>
      </c>
      <c r="P20">
        <v>0</v>
      </c>
      <c r="Q20">
        <v>0</v>
      </c>
      <c r="R20">
        <v>0</v>
      </c>
      <c r="S20">
        <v>0</v>
      </c>
      <c r="T20">
        <v>650000</v>
      </c>
      <c r="U20">
        <v>1613000</v>
      </c>
      <c r="V20">
        <v>175000</v>
      </c>
      <c r="W20">
        <v>0</v>
      </c>
      <c r="X20">
        <v>150000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1222500</v>
      </c>
      <c r="AE20">
        <v>350000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154463</v>
      </c>
      <c r="BJ20">
        <v>21072</v>
      </c>
      <c r="BK20">
        <v>0</v>
      </c>
      <c r="BL20">
        <v>100000</v>
      </c>
      <c r="BM20">
        <v>20000</v>
      </c>
      <c r="BN20">
        <v>1000</v>
      </c>
      <c r="BO20">
        <v>0</v>
      </c>
      <c r="BP20">
        <v>0</v>
      </c>
      <c r="BQ20">
        <v>176200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154463</v>
      </c>
      <c r="CM20">
        <v>138680</v>
      </c>
      <c r="CN20">
        <v>69340</v>
      </c>
      <c r="CO20">
        <v>69340</v>
      </c>
      <c r="CP20">
        <v>0</v>
      </c>
      <c r="CQ20">
        <v>21580</v>
      </c>
      <c r="CR20">
        <v>0</v>
      </c>
      <c r="CS20">
        <v>70135</v>
      </c>
      <c r="CT20">
        <v>0</v>
      </c>
      <c r="CU20">
        <v>0</v>
      </c>
      <c r="CV20">
        <v>20802</v>
      </c>
      <c r="CW20">
        <v>61713</v>
      </c>
      <c r="CX20">
        <v>256558</v>
      </c>
      <c r="CY20">
        <v>138680</v>
      </c>
      <c r="CZ20">
        <v>277360</v>
      </c>
      <c r="DA20">
        <v>0</v>
      </c>
      <c r="DB20">
        <v>43160</v>
      </c>
      <c r="DC20">
        <v>73372</v>
      </c>
      <c r="DD20">
        <v>0</v>
      </c>
      <c r="DE20">
        <v>0</v>
      </c>
      <c r="DF20">
        <v>0</v>
      </c>
      <c r="DG20">
        <v>0</v>
      </c>
      <c r="DH20" s="14">
        <v>9373228</v>
      </c>
      <c r="DI20" s="15" t="s">
        <v>790</v>
      </c>
      <c r="DJ20" s="11" t="str">
        <f t="shared" si="1"/>
        <v>MICHELLE KING</v>
      </c>
      <c r="DK20" s="16" t="s">
        <v>604</v>
      </c>
      <c r="DL20" s="17" t="s">
        <v>857</v>
      </c>
      <c r="DM20" s="16">
        <v>6211111</v>
      </c>
    </row>
    <row r="21" spans="1:117" x14ac:dyDescent="0.25">
      <c r="A21" s="11" t="str">
        <f t="shared" si="0"/>
        <v>MICHELLE RIVERA - UNIT WILAYAH UTARA</v>
      </c>
      <c r="B21" s="12">
        <v>11101112</v>
      </c>
      <c r="C21" s="12" t="s">
        <v>592</v>
      </c>
      <c r="D21" s="13" t="s">
        <v>202</v>
      </c>
      <c r="E21" t="s">
        <v>116</v>
      </c>
      <c r="F21" t="s">
        <v>351</v>
      </c>
      <c r="G21" t="s">
        <v>353</v>
      </c>
      <c r="H21" t="s">
        <v>359</v>
      </c>
      <c r="I21" t="s">
        <v>400</v>
      </c>
      <c r="J21" t="s">
        <v>440</v>
      </c>
      <c r="K21" t="s">
        <v>117</v>
      </c>
      <c r="L21" t="s">
        <v>118</v>
      </c>
      <c r="M21">
        <v>1548250</v>
      </c>
      <c r="N21">
        <v>4812000</v>
      </c>
      <c r="O21">
        <v>0</v>
      </c>
      <c r="P21">
        <v>0</v>
      </c>
      <c r="Q21">
        <v>0</v>
      </c>
      <c r="R21">
        <v>0</v>
      </c>
      <c r="S21">
        <v>1200000</v>
      </c>
      <c r="T21">
        <v>0</v>
      </c>
      <c r="U21">
        <v>1486000</v>
      </c>
      <c r="V21">
        <v>200000</v>
      </c>
      <c r="W21">
        <v>0</v>
      </c>
      <c r="X21">
        <v>400000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837743</v>
      </c>
      <c r="BJ21">
        <v>907782</v>
      </c>
      <c r="BK21">
        <v>0</v>
      </c>
      <c r="BL21">
        <v>100000</v>
      </c>
      <c r="BM21">
        <v>20000</v>
      </c>
      <c r="BN21">
        <v>1000</v>
      </c>
      <c r="BO21">
        <v>0</v>
      </c>
      <c r="BP21">
        <v>0</v>
      </c>
      <c r="BQ21">
        <v>169000</v>
      </c>
      <c r="BR21">
        <v>0</v>
      </c>
      <c r="BS21">
        <v>0</v>
      </c>
      <c r="BT21">
        <v>0</v>
      </c>
      <c r="BU21">
        <v>0</v>
      </c>
      <c r="BV21">
        <v>958500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837743</v>
      </c>
      <c r="CM21">
        <v>156980</v>
      </c>
      <c r="CN21">
        <v>78490</v>
      </c>
      <c r="CO21">
        <v>78490</v>
      </c>
      <c r="CP21">
        <v>0</v>
      </c>
      <c r="CQ21">
        <v>23720</v>
      </c>
      <c r="CR21">
        <v>0</v>
      </c>
      <c r="CS21">
        <v>77090</v>
      </c>
      <c r="CT21">
        <v>0</v>
      </c>
      <c r="CU21">
        <v>0</v>
      </c>
      <c r="CV21">
        <v>23547</v>
      </c>
      <c r="CW21">
        <v>69856</v>
      </c>
      <c r="CX21">
        <v>290413</v>
      </c>
      <c r="CY21">
        <v>156980</v>
      </c>
      <c r="CZ21">
        <v>313960</v>
      </c>
      <c r="DA21">
        <v>0</v>
      </c>
      <c r="DB21">
        <v>47440</v>
      </c>
      <c r="DC21">
        <v>80648</v>
      </c>
      <c r="DD21">
        <v>0</v>
      </c>
      <c r="DE21">
        <v>0</v>
      </c>
      <c r="DF21">
        <v>0</v>
      </c>
      <c r="DG21">
        <v>0</v>
      </c>
      <c r="DH21" s="14">
        <v>7075198</v>
      </c>
      <c r="DI21" s="15" t="s">
        <v>812</v>
      </c>
      <c r="DJ21" s="11" t="str">
        <f t="shared" si="1"/>
        <v>MICHELLE RIVERA</v>
      </c>
      <c r="DK21" s="16" t="s">
        <v>604</v>
      </c>
      <c r="DL21" s="17" t="s">
        <v>857</v>
      </c>
      <c r="DM21" s="16">
        <v>6211111</v>
      </c>
    </row>
    <row r="22" spans="1:117" x14ac:dyDescent="0.25">
      <c r="A22" s="11" t="str">
        <f t="shared" si="0"/>
        <v>RICHARD FLORES - UNIT WILAYAH UTARA</v>
      </c>
      <c r="B22" s="12">
        <v>11102569</v>
      </c>
      <c r="C22" s="12" t="s">
        <v>598</v>
      </c>
      <c r="D22" s="13" t="s">
        <v>281</v>
      </c>
      <c r="E22" t="s">
        <v>116</v>
      </c>
      <c r="F22" t="s">
        <v>351</v>
      </c>
      <c r="G22" t="s">
        <v>353</v>
      </c>
      <c r="H22" t="s">
        <v>355</v>
      </c>
      <c r="I22" t="s">
        <v>400</v>
      </c>
      <c r="J22" t="s">
        <v>440</v>
      </c>
      <c r="K22" t="s">
        <v>117</v>
      </c>
      <c r="L22" t="s">
        <v>118</v>
      </c>
      <c r="M22">
        <v>1004150</v>
      </c>
      <c r="N22">
        <v>2876500</v>
      </c>
      <c r="O22">
        <v>0</v>
      </c>
      <c r="P22">
        <v>0</v>
      </c>
      <c r="Q22">
        <v>0</v>
      </c>
      <c r="R22">
        <v>0</v>
      </c>
      <c r="S22">
        <v>0</v>
      </c>
      <c r="T22">
        <v>650000</v>
      </c>
      <c r="U22">
        <v>1613000</v>
      </c>
      <c r="V22">
        <v>175000</v>
      </c>
      <c r="W22">
        <v>0</v>
      </c>
      <c r="X22">
        <v>150000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603200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90344</v>
      </c>
      <c r="BJ22">
        <v>0</v>
      </c>
      <c r="BK22">
        <v>0</v>
      </c>
      <c r="BL22">
        <v>100000</v>
      </c>
      <c r="BM22">
        <v>20000</v>
      </c>
      <c r="BN22">
        <v>1000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90344</v>
      </c>
      <c r="CM22">
        <v>109840</v>
      </c>
      <c r="CN22">
        <v>54920</v>
      </c>
      <c r="CO22">
        <v>54920</v>
      </c>
      <c r="CP22">
        <v>0</v>
      </c>
      <c r="CQ22">
        <v>0</v>
      </c>
      <c r="CR22">
        <v>0</v>
      </c>
      <c r="CS22">
        <v>0</v>
      </c>
      <c r="CT22">
        <v>192220</v>
      </c>
      <c r="CU22">
        <v>0</v>
      </c>
      <c r="CV22">
        <v>16476</v>
      </c>
      <c r="CW22">
        <v>48879</v>
      </c>
      <c r="CX22">
        <v>203204</v>
      </c>
      <c r="CY22">
        <v>109840</v>
      </c>
      <c r="CZ22">
        <v>219680</v>
      </c>
      <c r="DA22">
        <v>0</v>
      </c>
      <c r="DB22">
        <v>0</v>
      </c>
      <c r="DC22">
        <v>0</v>
      </c>
      <c r="DD22">
        <v>0</v>
      </c>
      <c r="DE22">
        <v>411900</v>
      </c>
      <c r="DF22">
        <v>0</v>
      </c>
      <c r="DG22">
        <v>0</v>
      </c>
      <c r="DH22" s="14">
        <v>6538950</v>
      </c>
      <c r="DI22" s="15" t="s">
        <v>818</v>
      </c>
      <c r="DJ22" s="11" t="str">
        <f t="shared" si="1"/>
        <v>RICHARD FLORES</v>
      </c>
      <c r="DK22" s="16" t="s">
        <v>604</v>
      </c>
      <c r="DL22" s="17" t="s">
        <v>825</v>
      </c>
      <c r="DM22" s="16">
        <v>6211111</v>
      </c>
    </row>
    <row r="23" spans="1:117" x14ac:dyDescent="0.25">
      <c r="A23" s="11" t="str">
        <f t="shared" si="0"/>
        <v>RICHARD JACKSON - UNIT WILAYAH UTARA</v>
      </c>
      <c r="B23" s="12">
        <v>11100894</v>
      </c>
      <c r="C23" s="12">
        <v>11000894</v>
      </c>
      <c r="D23" s="13" t="s">
        <v>300</v>
      </c>
      <c r="E23" t="s">
        <v>124</v>
      </c>
      <c r="F23" t="s">
        <v>351</v>
      </c>
      <c r="G23" t="s">
        <v>353</v>
      </c>
      <c r="I23" t="s">
        <v>400</v>
      </c>
      <c r="J23" t="s">
        <v>440</v>
      </c>
      <c r="K23" t="s">
        <v>118</v>
      </c>
      <c r="L23" t="s">
        <v>125</v>
      </c>
      <c r="M23">
        <v>630000</v>
      </c>
      <c r="N23">
        <v>1290000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 s="14">
        <v>1920000</v>
      </c>
      <c r="DI23" s="11" t="s">
        <v>610</v>
      </c>
      <c r="DJ23" s="11" t="str">
        <f t="shared" si="1"/>
        <v>RICHARD JACKSON</v>
      </c>
      <c r="DK23" s="16" t="s">
        <v>604</v>
      </c>
      <c r="DL23" s="16" t="s">
        <v>825</v>
      </c>
      <c r="DM23" s="16">
        <v>6211111</v>
      </c>
    </row>
    <row r="24" spans="1:117" x14ac:dyDescent="0.25">
      <c r="A24" s="11" t="str">
        <f t="shared" si="0"/>
        <v>ROBERT HALL - UNIT WILAYAH UTARA</v>
      </c>
      <c r="B24" s="12">
        <v>11103855</v>
      </c>
      <c r="C24" s="12">
        <v>11003855</v>
      </c>
      <c r="D24" s="13" t="s">
        <v>165</v>
      </c>
      <c r="E24" t="s">
        <v>124</v>
      </c>
      <c r="F24" t="s">
        <v>351</v>
      </c>
      <c r="G24" t="s">
        <v>353</v>
      </c>
      <c r="I24" t="s">
        <v>400</v>
      </c>
      <c r="J24" t="s">
        <v>440</v>
      </c>
      <c r="K24" t="s">
        <v>118</v>
      </c>
      <c r="L24" t="s">
        <v>125</v>
      </c>
      <c r="M24">
        <v>216000</v>
      </c>
      <c r="N24">
        <v>540000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 s="14">
        <v>756000</v>
      </c>
      <c r="DI24" s="11" t="s">
        <v>613</v>
      </c>
      <c r="DJ24" s="11" t="str">
        <f t="shared" si="1"/>
        <v>ROBERT HALL</v>
      </c>
      <c r="DK24" s="16" t="s">
        <v>604</v>
      </c>
      <c r="DL24" s="16" t="s">
        <v>823</v>
      </c>
      <c r="DM24" s="16">
        <v>6211111</v>
      </c>
    </row>
    <row r="25" spans="1:117" x14ac:dyDescent="0.25">
      <c r="A25" s="11" t="str">
        <f t="shared" si="0"/>
        <v>DEBORAH FLORES - UNIT WILAYAH UTARA</v>
      </c>
      <c r="B25" s="12">
        <v>111123110064</v>
      </c>
      <c r="C25" s="12">
        <v>111123110064</v>
      </c>
      <c r="D25" s="13" t="s">
        <v>259</v>
      </c>
      <c r="E25" t="s">
        <v>122</v>
      </c>
      <c r="F25" t="s">
        <v>351</v>
      </c>
      <c r="G25" t="s">
        <v>352</v>
      </c>
      <c r="H25" t="s">
        <v>356</v>
      </c>
      <c r="I25" t="s">
        <v>363</v>
      </c>
      <c r="J25" t="s">
        <v>401</v>
      </c>
      <c r="K25">
        <v>0</v>
      </c>
      <c r="L25" t="s">
        <v>123</v>
      </c>
      <c r="M25">
        <v>0</v>
      </c>
      <c r="N25">
        <v>0</v>
      </c>
      <c r="O25">
        <v>0</v>
      </c>
      <c r="P25">
        <v>0</v>
      </c>
      <c r="Q25">
        <v>0</v>
      </c>
      <c r="R25">
        <v>3650000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340700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73000</v>
      </c>
      <c r="CN25">
        <v>36500</v>
      </c>
      <c r="CO25">
        <v>36500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 s="14">
        <v>3844700</v>
      </c>
      <c r="DI25" s="11" t="s">
        <v>632</v>
      </c>
      <c r="DJ25" s="11" t="str">
        <f t="shared" si="1"/>
        <v>DEBORAH FLORES</v>
      </c>
      <c r="DK25" s="16" t="s">
        <v>604</v>
      </c>
      <c r="DL25" s="16" t="s">
        <v>841</v>
      </c>
      <c r="DM25" s="16">
        <v>6211111</v>
      </c>
    </row>
    <row r="26" spans="1:117" x14ac:dyDescent="0.25">
      <c r="A26" s="11" t="str">
        <f t="shared" si="0"/>
        <v>JOSEPH HALL - UNIT WILAYAH UTARA</v>
      </c>
      <c r="B26" s="12">
        <v>11112911</v>
      </c>
      <c r="C26" s="12" t="s">
        <v>442</v>
      </c>
      <c r="D26" s="13" t="s">
        <v>325</v>
      </c>
      <c r="E26" t="s">
        <v>116</v>
      </c>
      <c r="F26" t="s">
        <v>351</v>
      </c>
      <c r="G26" t="s">
        <v>352</v>
      </c>
      <c r="H26" t="s">
        <v>355</v>
      </c>
      <c r="I26" t="s">
        <v>363</v>
      </c>
      <c r="J26" t="s">
        <v>401</v>
      </c>
      <c r="K26" t="s">
        <v>119</v>
      </c>
      <c r="L26" t="s">
        <v>120</v>
      </c>
      <c r="M26">
        <v>0</v>
      </c>
      <c r="N26">
        <v>0</v>
      </c>
      <c r="O26">
        <v>0</v>
      </c>
      <c r="P26">
        <v>0</v>
      </c>
      <c r="Q26">
        <v>6000000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590700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45879</v>
      </c>
      <c r="BJ26">
        <v>73718</v>
      </c>
      <c r="BK26">
        <v>0</v>
      </c>
      <c r="BL26">
        <v>0</v>
      </c>
      <c r="BM26">
        <v>20000</v>
      </c>
      <c r="BN26">
        <v>1000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67079</v>
      </c>
      <c r="CM26">
        <v>120000</v>
      </c>
      <c r="CN26">
        <v>60000</v>
      </c>
      <c r="CO26">
        <v>60000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18000</v>
      </c>
      <c r="CW26">
        <v>53400</v>
      </c>
      <c r="CX26">
        <v>222000</v>
      </c>
      <c r="CY26">
        <v>120000</v>
      </c>
      <c r="CZ26">
        <v>240000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 s="14">
        <v>6234782</v>
      </c>
      <c r="DI26" s="15" t="s">
        <v>688</v>
      </c>
      <c r="DJ26" s="11" t="str">
        <f t="shared" si="1"/>
        <v>JOSEPH HALL</v>
      </c>
      <c r="DK26" s="16" t="s">
        <v>604</v>
      </c>
      <c r="DL26" s="17" t="s">
        <v>861</v>
      </c>
      <c r="DM26" s="16">
        <v>6211111</v>
      </c>
    </row>
    <row r="27" spans="1:117" x14ac:dyDescent="0.25">
      <c r="A27" s="11" t="str">
        <f t="shared" si="0"/>
        <v>MARK SMITH - UNIT WILAYAH UTARA</v>
      </c>
      <c r="B27" s="12">
        <v>11115113</v>
      </c>
      <c r="C27" s="12" t="s">
        <v>441</v>
      </c>
      <c r="D27" s="13" t="s">
        <v>162</v>
      </c>
      <c r="E27" t="s">
        <v>116</v>
      </c>
      <c r="F27" t="s">
        <v>351</v>
      </c>
      <c r="G27" t="s">
        <v>352</v>
      </c>
      <c r="H27" t="s">
        <v>355</v>
      </c>
      <c r="I27" t="s">
        <v>363</v>
      </c>
      <c r="J27" t="s">
        <v>401</v>
      </c>
      <c r="K27" t="s">
        <v>119</v>
      </c>
      <c r="L27" t="s">
        <v>120</v>
      </c>
      <c r="M27">
        <v>0</v>
      </c>
      <c r="N27">
        <v>0</v>
      </c>
      <c r="O27">
        <v>0</v>
      </c>
      <c r="P27">
        <v>0</v>
      </c>
      <c r="Q27">
        <v>4961753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454300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20000</v>
      </c>
      <c r="BN27">
        <v>1000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13687</v>
      </c>
      <c r="CM27">
        <v>99235</v>
      </c>
      <c r="CN27">
        <v>49618</v>
      </c>
      <c r="CO27">
        <v>49618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14885</v>
      </c>
      <c r="CW27">
        <v>44160</v>
      </c>
      <c r="CX27">
        <v>183585</v>
      </c>
      <c r="CY27">
        <v>99235</v>
      </c>
      <c r="CZ27">
        <v>198470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 s="14">
        <v>5182895</v>
      </c>
      <c r="DI27" s="11" t="s">
        <v>719</v>
      </c>
      <c r="DJ27" s="11" t="str">
        <f t="shared" si="1"/>
        <v>MARK SMITH</v>
      </c>
      <c r="DK27" s="16" t="s">
        <v>604</v>
      </c>
      <c r="DL27" s="16" t="s">
        <v>839</v>
      </c>
      <c r="DM27" s="16">
        <v>6211111</v>
      </c>
    </row>
    <row r="28" spans="1:117" x14ac:dyDescent="0.25">
      <c r="A28" s="11" t="str">
        <f t="shared" si="0"/>
        <v>ROBERT MITCHELL - UNIT WILAYAH UTARA</v>
      </c>
      <c r="B28" s="12">
        <v>11101542</v>
      </c>
      <c r="C28" s="12" t="s">
        <v>578</v>
      </c>
      <c r="D28" s="13" t="s">
        <v>148</v>
      </c>
      <c r="E28" t="s">
        <v>116</v>
      </c>
      <c r="F28" t="s">
        <v>351</v>
      </c>
      <c r="G28" t="s">
        <v>352</v>
      </c>
      <c r="H28" t="s">
        <v>355</v>
      </c>
      <c r="I28" t="s">
        <v>363</v>
      </c>
      <c r="J28" t="s">
        <v>401</v>
      </c>
      <c r="K28" t="s">
        <v>117</v>
      </c>
      <c r="L28" t="s">
        <v>118</v>
      </c>
      <c r="M28">
        <v>1499500</v>
      </c>
      <c r="N28">
        <v>4524000</v>
      </c>
      <c r="O28">
        <v>0</v>
      </c>
      <c r="P28">
        <v>0</v>
      </c>
      <c r="Q28">
        <v>0</v>
      </c>
      <c r="R28">
        <v>0</v>
      </c>
      <c r="S28">
        <v>0</v>
      </c>
      <c r="T28">
        <v>650000</v>
      </c>
      <c r="U28">
        <v>1613000</v>
      </c>
      <c r="V28">
        <v>175000</v>
      </c>
      <c r="W28">
        <v>0</v>
      </c>
      <c r="X28">
        <v>150000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340700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87856</v>
      </c>
      <c r="BJ28">
        <v>197782</v>
      </c>
      <c r="BK28">
        <v>0</v>
      </c>
      <c r="BL28">
        <v>100000</v>
      </c>
      <c r="BM28">
        <v>20000</v>
      </c>
      <c r="BN28">
        <v>1000</v>
      </c>
      <c r="BO28">
        <v>0</v>
      </c>
      <c r="BP28">
        <v>0</v>
      </c>
      <c r="BQ28">
        <v>1260000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91263</v>
      </c>
      <c r="CM28">
        <v>144960</v>
      </c>
      <c r="CN28">
        <v>72480</v>
      </c>
      <c r="CO28">
        <v>72480</v>
      </c>
      <c r="CP28">
        <v>0</v>
      </c>
      <c r="CQ28">
        <v>23720</v>
      </c>
      <c r="CR28">
        <v>0</v>
      </c>
      <c r="CS28">
        <v>77090</v>
      </c>
      <c r="CT28">
        <v>0</v>
      </c>
      <c r="CU28">
        <v>0</v>
      </c>
      <c r="CV28">
        <v>21744</v>
      </c>
      <c r="CW28">
        <v>64507</v>
      </c>
      <c r="CX28">
        <v>268176</v>
      </c>
      <c r="CY28">
        <v>144960</v>
      </c>
      <c r="CZ28">
        <v>289920</v>
      </c>
      <c r="DA28">
        <v>0</v>
      </c>
      <c r="DB28">
        <v>47440</v>
      </c>
      <c r="DC28">
        <v>80648</v>
      </c>
      <c r="DD28">
        <v>0</v>
      </c>
      <c r="DE28">
        <v>0</v>
      </c>
      <c r="DF28">
        <v>0</v>
      </c>
      <c r="DG28">
        <v>0</v>
      </c>
      <c r="DH28" s="14">
        <v>6979281</v>
      </c>
      <c r="DI28" s="15" t="s">
        <v>798</v>
      </c>
      <c r="DJ28" s="11" t="str">
        <f t="shared" si="1"/>
        <v>ROBERT MITCHELL</v>
      </c>
      <c r="DK28" s="16" t="s">
        <v>604</v>
      </c>
      <c r="DL28" s="17" t="s">
        <v>823</v>
      </c>
      <c r="DM28" s="16">
        <v>6211111</v>
      </c>
    </row>
    <row r="29" spans="1:117" x14ac:dyDescent="0.25">
      <c r="A29" s="11" t="str">
        <f t="shared" si="0"/>
        <v>SANDRA HERNANDEZ - UNIT WILAYAH UTARA</v>
      </c>
      <c r="B29" s="12">
        <v>11103558</v>
      </c>
      <c r="C29" s="12" t="s">
        <v>456</v>
      </c>
      <c r="D29" s="13" t="s">
        <v>294</v>
      </c>
      <c r="E29" t="s">
        <v>116</v>
      </c>
      <c r="F29" t="s">
        <v>351</v>
      </c>
      <c r="G29" t="s">
        <v>352</v>
      </c>
      <c r="H29" t="s">
        <v>355</v>
      </c>
      <c r="I29" t="s">
        <v>396</v>
      </c>
      <c r="J29" t="s">
        <v>410</v>
      </c>
      <c r="K29" t="s">
        <v>117</v>
      </c>
      <c r="L29" t="s">
        <v>118</v>
      </c>
      <c r="M29">
        <v>858000</v>
      </c>
      <c r="N29">
        <v>2506000</v>
      </c>
      <c r="O29">
        <v>0</v>
      </c>
      <c r="P29">
        <v>0</v>
      </c>
      <c r="Q29">
        <v>0</v>
      </c>
      <c r="R29">
        <v>0</v>
      </c>
      <c r="S29">
        <v>0</v>
      </c>
      <c r="T29">
        <v>650000</v>
      </c>
      <c r="U29">
        <v>1613000</v>
      </c>
      <c r="V29">
        <v>175000</v>
      </c>
      <c r="W29">
        <v>0</v>
      </c>
      <c r="X29">
        <v>150000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335900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698775</v>
      </c>
      <c r="BK29">
        <v>0</v>
      </c>
      <c r="BL29">
        <v>100000</v>
      </c>
      <c r="BM29">
        <v>20000</v>
      </c>
      <c r="BN29">
        <v>1000</v>
      </c>
      <c r="BO29">
        <v>0</v>
      </c>
      <c r="BP29">
        <v>0</v>
      </c>
      <c r="BQ29">
        <v>1279500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15870</v>
      </c>
      <c r="CM29">
        <v>101280</v>
      </c>
      <c r="CN29">
        <v>50640</v>
      </c>
      <c r="CO29">
        <v>50640</v>
      </c>
      <c r="CP29">
        <v>0</v>
      </c>
      <c r="CQ29">
        <v>0</v>
      </c>
      <c r="CR29">
        <v>0</v>
      </c>
      <c r="CS29">
        <v>0</v>
      </c>
      <c r="CT29">
        <v>177240</v>
      </c>
      <c r="CU29">
        <v>0</v>
      </c>
      <c r="CV29">
        <v>15192</v>
      </c>
      <c r="CW29">
        <v>45070</v>
      </c>
      <c r="CX29">
        <v>187368</v>
      </c>
      <c r="CY29">
        <v>101280</v>
      </c>
      <c r="CZ29">
        <v>202560</v>
      </c>
      <c r="DA29">
        <v>0</v>
      </c>
      <c r="DB29">
        <v>0</v>
      </c>
      <c r="DC29">
        <v>0</v>
      </c>
      <c r="DD29">
        <v>0</v>
      </c>
      <c r="DE29">
        <v>379800</v>
      </c>
      <c r="DF29">
        <v>0</v>
      </c>
      <c r="DG29">
        <v>0</v>
      </c>
      <c r="DH29" s="14">
        <v>3792955</v>
      </c>
      <c r="DI29" s="15" t="s">
        <v>679</v>
      </c>
      <c r="DJ29" s="11" t="str">
        <f t="shared" si="1"/>
        <v>SANDRA HERNANDEZ</v>
      </c>
      <c r="DK29" s="16" t="s">
        <v>604</v>
      </c>
      <c r="DL29" s="17" t="s">
        <v>854</v>
      </c>
      <c r="DM29" s="16">
        <v>6211111</v>
      </c>
    </row>
    <row r="30" spans="1:117" x14ac:dyDescent="0.25">
      <c r="A30" s="11" t="str">
        <f t="shared" si="0"/>
        <v>SANDRA THOMAS - UNIT WILAYAH UTARA</v>
      </c>
      <c r="B30" s="12">
        <v>11117155</v>
      </c>
      <c r="C30" s="12" t="s">
        <v>121</v>
      </c>
      <c r="D30" s="13" t="s">
        <v>222</v>
      </c>
      <c r="E30" t="s">
        <v>116</v>
      </c>
      <c r="F30" t="s">
        <v>351</v>
      </c>
      <c r="G30" t="s">
        <v>352</v>
      </c>
      <c r="H30" t="s">
        <v>355</v>
      </c>
      <c r="I30" t="s">
        <v>396</v>
      </c>
      <c r="J30" t="s">
        <v>410</v>
      </c>
      <c r="K30" t="s">
        <v>119</v>
      </c>
      <c r="L30" t="s">
        <v>120</v>
      </c>
      <c r="M30">
        <v>0</v>
      </c>
      <c r="N30">
        <v>0</v>
      </c>
      <c r="O30">
        <v>0</v>
      </c>
      <c r="P30">
        <v>0</v>
      </c>
      <c r="Q30">
        <v>6497012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335900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66407</v>
      </c>
      <c r="BJ30">
        <v>74276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87207</v>
      </c>
      <c r="CM30">
        <v>129940</v>
      </c>
      <c r="CN30">
        <v>64970</v>
      </c>
      <c r="CO30">
        <v>64970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19491</v>
      </c>
      <c r="CW30">
        <v>57823</v>
      </c>
      <c r="CX30">
        <v>240389</v>
      </c>
      <c r="CY30">
        <v>129940</v>
      </c>
      <c r="CZ30">
        <v>259880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 s="14">
        <v>6477956</v>
      </c>
      <c r="DI30" s="11" t="s">
        <v>654</v>
      </c>
      <c r="DJ30" s="11" t="str">
        <f t="shared" si="1"/>
        <v>SANDRA THOMAS</v>
      </c>
      <c r="DK30" s="16" t="s">
        <v>604</v>
      </c>
      <c r="DL30" s="16" t="s">
        <v>854</v>
      </c>
      <c r="DM30" s="16">
        <v>6211111</v>
      </c>
    </row>
    <row r="31" spans="1:117" x14ac:dyDescent="0.25">
      <c r="A31" s="11" t="str">
        <f t="shared" si="0"/>
        <v>SUSAN RIVERA - UNIT WILAYAH UTARA</v>
      </c>
      <c r="B31" s="12">
        <v>11113879</v>
      </c>
      <c r="C31" s="12" t="s">
        <v>457</v>
      </c>
      <c r="D31" s="13" t="s">
        <v>337</v>
      </c>
      <c r="E31" t="s">
        <v>116</v>
      </c>
      <c r="F31" t="s">
        <v>351</v>
      </c>
      <c r="G31" t="s">
        <v>352</v>
      </c>
      <c r="H31" t="s">
        <v>355</v>
      </c>
      <c r="I31" t="s">
        <v>396</v>
      </c>
      <c r="J31" t="s">
        <v>410</v>
      </c>
      <c r="K31" t="s">
        <v>119</v>
      </c>
      <c r="L31" t="s">
        <v>120</v>
      </c>
      <c r="M31">
        <v>0</v>
      </c>
      <c r="N31">
        <v>0</v>
      </c>
      <c r="O31">
        <v>0</v>
      </c>
      <c r="P31">
        <v>0</v>
      </c>
      <c r="Q31">
        <v>5000000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447900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62850</v>
      </c>
      <c r="BK31">
        <v>0</v>
      </c>
      <c r="BL31">
        <v>0</v>
      </c>
      <c r="BM31">
        <v>20000</v>
      </c>
      <c r="BN31">
        <v>1000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13768</v>
      </c>
      <c r="CM31">
        <v>100000</v>
      </c>
      <c r="CN31">
        <v>50000</v>
      </c>
      <c r="CO31">
        <v>50000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15000</v>
      </c>
      <c r="CW31">
        <v>44500</v>
      </c>
      <c r="CX31">
        <v>185000</v>
      </c>
      <c r="CY31">
        <v>100000</v>
      </c>
      <c r="CZ31">
        <v>200000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 s="14">
        <v>5150282</v>
      </c>
      <c r="DI31" s="11" t="s">
        <v>765</v>
      </c>
      <c r="DJ31" s="11" t="str">
        <f t="shared" si="1"/>
        <v>SUSAN RIVERA</v>
      </c>
      <c r="DK31" s="16" t="s">
        <v>604</v>
      </c>
      <c r="DL31" s="16" t="s">
        <v>833</v>
      </c>
      <c r="DM31" s="16">
        <v>6211111</v>
      </c>
    </row>
    <row r="32" spans="1:117" x14ac:dyDescent="0.25">
      <c r="A32" s="11" t="str">
        <f t="shared" si="0"/>
        <v>SUSAN TORRES - UNIT WILAYAH UTARA</v>
      </c>
      <c r="B32" s="12">
        <v>11115005</v>
      </c>
      <c r="C32" s="12" t="s">
        <v>455</v>
      </c>
      <c r="D32" s="13" t="s">
        <v>284</v>
      </c>
      <c r="E32" t="s">
        <v>116</v>
      </c>
      <c r="F32" t="s">
        <v>351</v>
      </c>
      <c r="G32" t="s">
        <v>352</v>
      </c>
      <c r="H32" t="s">
        <v>355</v>
      </c>
      <c r="I32" t="s">
        <v>396</v>
      </c>
      <c r="J32" t="s">
        <v>410</v>
      </c>
      <c r="K32" t="s">
        <v>119</v>
      </c>
      <c r="L32" t="s">
        <v>120</v>
      </c>
      <c r="M32">
        <v>0</v>
      </c>
      <c r="N32">
        <v>0</v>
      </c>
      <c r="O32">
        <v>0</v>
      </c>
      <c r="P32">
        <v>0</v>
      </c>
      <c r="Q32">
        <v>6000000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585900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45879</v>
      </c>
      <c r="BJ32">
        <v>0</v>
      </c>
      <c r="BK32">
        <v>0</v>
      </c>
      <c r="BL32">
        <v>0</v>
      </c>
      <c r="BM32">
        <v>20000</v>
      </c>
      <c r="BN32">
        <v>1000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67031</v>
      </c>
      <c r="CM32">
        <v>120000</v>
      </c>
      <c r="CN32">
        <v>60000</v>
      </c>
      <c r="CO32">
        <v>60000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18000</v>
      </c>
      <c r="CW32">
        <v>53400</v>
      </c>
      <c r="CX32">
        <v>222000</v>
      </c>
      <c r="CY32">
        <v>120000</v>
      </c>
      <c r="CZ32">
        <v>240000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 s="14">
        <v>6303748</v>
      </c>
      <c r="DI32" s="11" t="s">
        <v>752</v>
      </c>
      <c r="DJ32" s="11" t="str">
        <f t="shared" si="1"/>
        <v>SUSAN TORRES</v>
      </c>
      <c r="DK32" s="16" t="s">
        <v>604</v>
      </c>
      <c r="DL32" s="16" t="s">
        <v>833</v>
      </c>
      <c r="DM32" s="16">
        <v>6211111</v>
      </c>
    </row>
    <row r="33" spans="1:117" x14ac:dyDescent="0.25">
      <c r="A33" s="11" t="str">
        <f t="shared" si="0"/>
        <v>BARBARA NGUYEN - UNIT WILAYAH UTARA</v>
      </c>
      <c r="B33" s="12">
        <v>11113611</v>
      </c>
      <c r="C33" s="12" t="s">
        <v>459</v>
      </c>
      <c r="D33" s="13" t="s">
        <v>283</v>
      </c>
      <c r="E33" t="s">
        <v>116</v>
      </c>
      <c r="F33" t="s">
        <v>351</v>
      </c>
      <c r="G33" t="s">
        <v>352</v>
      </c>
      <c r="H33" t="s">
        <v>355</v>
      </c>
      <c r="I33" t="s">
        <v>383</v>
      </c>
      <c r="J33" t="s">
        <v>411</v>
      </c>
      <c r="K33" t="s">
        <v>119</v>
      </c>
      <c r="L33" t="s">
        <v>120</v>
      </c>
      <c r="M33">
        <v>0</v>
      </c>
      <c r="N33">
        <v>0</v>
      </c>
      <c r="O33">
        <v>0</v>
      </c>
      <c r="P33">
        <v>0</v>
      </c>
      <c r="Q33">
        <v>6000000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45879</v>
      </c>
      <c r="BJ33">
        <v>0</v>
      </c>
      <c r="BK33">
        <v>0</v>
      </c>
      <c r="BL33">
        <v>0</v>
      </c>
      <c r="BM33">
        <v>20000</v>
      </c>
      <c r="BN33">
        <v>1000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45879</v>
      </c>
      <c r="CM33">
        <v>120000</v>
      </c>
      <c r="CN33">
        <v>60000</v>
      </c>
      <c r="CO33">
        <v>60000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18000</v>
      </c>
      <c r="CW33">
        <v>53400</v>
      </c>
      <c r="CX33">
        <v>222000</v>
      </c>
      <c r="CY33">
        <v>120000</v>
      </c>
      <c r="CZ33">
        <v>240000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 s="14">
        <v>5739000</v>
      </c>
      <c r="DI33" s="11" t="s">
        <v>717</v>
      </c>
      <c r="DJ33" s="11" t="str">
        <f t="shared" si="1"/>
        <v>BARBARA NGUYEN</v>
      </c>
      <c r="DK33" s="16" t="s">
        <v>604</v>
      </c>
      <c r="DL33" s="16" t="s">
        <v>855</v>
      </c>
      <c r="DM33" s="16">
        <v>6211111</v>
      </c>
    </row>
    <row r="34" spans="1:117" x14ac:dyDescent="0.25">
      <c r="A34" s="11" t="str">
        <f t="shared" si="0"/>
        <v>JAMES CAMPBELL - UNIT WILAYAH UTARA</v>
      </c>
      <c r="B34" s="12">
        <v>11116332</v>
      </c>
      <c r="C34" s="12" t="s">
        <v>121</v>
      </c>
      <c r="D34" s="13" t="s">
        <v>230</v>
      </c>
      <c r="E34" t="s">
        <v>116</v>
      </c>
      <c r="F34" t="s">
        <v>351</v>
      </c>
      <c r="G34" t="s">
        <v>352</v>
      </c>
      <c r="H34" t="s">
        <v>355</v>
      </c>
      <c r="I34" t="s">
        <v>383</v>
      </c>
      <c r="J34" t="s">
        <v>411</v>
      </c>
      <c r="K34" t="s">
        <v>119</v>
      </c>
      <c r="L34" t="s">
        <v>120</v>
      </c>
      <c r="M34">
        <v>0</v>
      </c>
      <c r="N34">
        <v>0</v>
      </c>
      <c r="O34">
        <v>0</v>
      </c>
      <c r="P34">
        <v>0</v>
      </c>
      <c r="Q34">
        <v>4961753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20000</v>
      </c>
      <c r="BN34">
        <v>1000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10000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99235</v>
      </c>
      <c r="CN34">
        <v>49618</v>
      </c>
      <c r="CO34">
        <v>49618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14885</v>
      </c>
      <c r="CW34">
        <v>44160</v>
      </c>
      <c r="CX34">
        <v>183585</v>
      </c>
      <c r="CY34">
        <v>99235</v>
      </c>
      <c r="CZ34">
        <v>198470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 s="14">
        <v>4732282</v>
      </c>
      <c r="DI34" s="11" t="s">
        <v>655</v>
      </c>
      <c r="DJ34" s="11" t="str">
        <f t="shared" si="1"/>
        <v>JAMES CAMPBELL</v>
      </c>
      <c r="DK34" s="16" t="s">
        <v>604</v>
      </c>
      <c r="DL34" s="16" t="s">
        <v>837</v>
      </c>
      <c r="DM34" s="16">
        <v>6211111</v>
      </c>
    </row>
    <row r="35" spans="1:117" x14ac:dyDescent="0.25">
      <c r="A35" s="11" t="str">
        <f t="shared" si="0"/>
        <v>LISA ALLEN - UNIT WILAYAH UTARA</v>
      </c>
      <c r="B35" s="12">
        <v>11113853</v>
      </c>
      <c r="C35" s="12" t="s">
        <v>458</v>
      </c>
      <c r="D35" s="13" t="s">
        <v>193</v>
      </c>
      <c r="E35" t="s">
        <v>116</v>
      </c>
      <c r="F35" t="s">
        <v>351</v>
      </c>
      <c r="G35" t="s">
        <v>352</v>
      </c>
      <c r="H35" t="s">
        <v>355</v>
      </c>
      <c r="I35" t="s">
        <v>383</v>
      </c>
      <c r="J35" t="s">
        <v>411</v>
      </c>
      <c r="K35" t="s">
        <v>117</v>
      </c>
      <c r="L35" t="s">
        <v>118</v>
      </c>
      <c r="M35">
        <v>605000</v>
      </c>
      <c r="N35">
        <v>1808000</v>
      </c>
      <c r="O35">
        <v>0</v>
      </c>
      <c r="P35">
        <v>0</v>
      </c>
      <c r="Q35">
        <v>0</v>
      </c>
      <c r="R35">
        <v>0</v>
      </c>
      <c r="S35">
        <v>0</v>
      </c>
      <c r="T35">
        <v>650000</v>
      </c>
      <c r="U35">
        <v>1613000</v>
      </c>
      <c r="V35">
        <v>175000</v>
      </c>
      <c r="W35">
        <v>0</v>
      </c>
      <c r="X35">
        <v>150000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20000</v>
      </c>
      <c r="BN35">
        <v>1000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97020</v>
      </c>
      <c r="CN35">
        <v>48510</v>
      </c>
      <c r="CO35">
        <v>48510</v>
      </c>
      <c r="CP35">
        <v>0</v>
      </c>
      <c r="CQ35">
        <v>0</v>
      </c>
      <c r="CR35">
        <v>0</v>
      </c>
      <c r="CS35">
        <v>0</v>
      </c>
      <c r="CT35">
        <v>169785</v>
      </c>
      <c r="CU35">
        <v>0</v>
      </c>
      <c r="CV35">
        <v>14553</v>
      </c>
      <c r="CW35">
        <v>43174</v>
      </c>
      <c r="CX35">
        <v>179487</v>
      </c>
      <c r="CY35">
        <v>97020</v>
      </c>
      <c r="CZ35">
        <v>194040</v>
      </c>
      <c r="DA35">
        <v>0</v>
      </c>
      <c r="DB35">
        <v>0</v>
      </c>
      <c r="DC35">
        <v>0</v>
      </c>
      <c r="DD35">
        <v>0</v>
      </c>
      <c r="DE35">
        <v>363825</v>
      </c>
      <c r="DF35">
        <v>0</v>
      </c>
      <c r="DG35">
        <v>0</v>
      </c>
      <c r="DH35" s="14">
        <v>4616175</v>
      </c>
      <c r="DI35" s="11" t="s">
        <v>723</v>
      </c>
      <c r="DJ35" s="11" t="str">
        <f t="shared" si="1"/>
        <v>LISA ALLEN</v>
      </c>
      <c r="DK35" s="16" t="s">
        <v>604</v>
      </c>
      <c r="DL35" s="16" t="s">
        <v>836</v>
      </c>
      <c r="DM35" s="16">
        <v>6211111</v>
      </c>
    </row>
    <row r="36" spans="1:117" x14ac:dyDescent="0.25">
      <c r="A36" s="11" t="str">
        <f t="shared" si="0"/>
        <v>SUSAN ROBERTS - UNIT WILAYAH UTARA</v>
      </c>
      <c r="B36" s="12">
        <v>111123050058</v>
      </c>
      <c r="C36" s="12">
        <v>111123050058</v>
      </c>
      <c r="D36" s="13" t="s">
        <v>177</v>
      </c>
      <c r="E36" t="s">
        <v>122</v>
      </c>
      <c r="F36" t="s">
        <v>351</v>
      </c>
      <c r="G36" t="s">
        <v>352</v>
      </c>
      <c r="H36" t="s">
        <v>356</v>
      </c>
      <c r="I36" t="s">
        <v>383</v>
      </c>
      <c r="J36" t="s">
        <v>411</v>
      </c>
      <c r="K36">
        <v>0</v>
      </c>
      <c r="L36" t="s">
        <v>123</v>
      </c>
      <c r="M36">
        <v>0</v>
      </c>
      <c r="N36">
        <v>0</v>
      </c>
      <c r="O36">
        <v>0</v>
      </c>
      <c r="P36">
        <v>0</v>
      </c>
      <c r="Q36">
        <v>0</v>
      </c>
      <c r="R36">
        <v>3650000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252052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73000</v>
      </c>
      <c r="CN36">
        <v>36500</v>
      </c>
      <c r="CO36">
        <v>36500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 s="14">
        <v>3251948</v>
      </c>
      <c r="DI36" s="11" t="s">
        <v>621</v>
      </c>
      <c r="DJ36" s="11" t="str">
        <f t="shared" si="1"/>
        <v>SUSAN ROBERTS</v>
      </c>
      <c r="DK36" s="16" t="s">
        <v>604</v>
      </c>
      <c r="DL36" s="16" t="s">
        <v>833</v>
      </c>
      <c r="DM36" s="16">
        <v>6211111</v>
      </c>
    </row>
    <row r="37" spans="1:117" x14ac:dyDescent="0.25">
      <c r="A37" s="11" t="str">
        <f t="shared" si="0"/>
        <v>ANDREW PEREZ - UNIT WILAYAH UTARA</v>
      </c>
      <c r="B37" s="12">
        <v>11113851</v>
      </c>
      <c r="C37" s="12" t="s">
        <v>460</v>
      </c>
      <c r="D37" s="13" t="s">
        <v>233</v>
      </c>
      <c r="E37" t="s">
        <v>116</v>
      </c>
      <c r="F37" t="s">
        <v>351</v>
      </c>
      <c r="G37" t="s">
        <v>352</v>
      </c>
      <c r="H37" t="s">
        <v>355</v>
      </c>
      <c r="I37" t="s">
        <v>398</v>
      </c>
      <c r="J37" t="s">
        <v>412</v>
      </c>
      <c r="K37" t="s">
        <v>119</v>
      </c>
      <c r="L37" t="s">
        <v>120</v>
      </c>
      <c r="M37">
        <v>0</v>
      </c>
      <c r="N37">
        <v>0</v>
      </c>
      <c r="O37">
        <v>0</v>
      </c>
      <c r="P37">
        <v>0</v>
      </c>
      <c r="Q37">
        <v>6000000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45879</v>
      </c>
      <c r="BJ37">
        <v>0</v>
      </c>
      <c r="BK37">
        <v>0</v>
      </c>
      <c r="BL37">
        <v>0</v>
      </c>
      <c r="BM37">
        <v>20000</v>
      </c>
      <c r="BN37">
        <v>1000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45879</v>
      </c>
      <c r="CM37">
        <v>120000</v>
      </c>
      <c r="CN37">
        <v>60000</v>
      </c>
      <c r="CO37">
        <v>60000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18000</v>
      </c>
      <c r="CW37">
        <v>53400</v>
      </c>
      <c r="CX37">
        <v>222000</v>
      </c>
      <c r="CY37">
        <v>120000</v>
      </c>
      <c r="CZ37">
        <v>240000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 s="14">
        <v>5739000</v>
      </c>
      <c r="DI37" s="11" t="s">
        <v>736</v>
      </c>
      <c r="DJ37" s="11" t="str">
        <f t="shared" si="1"/>
        <v>ANDREW PEREZ</v>
      </c>
      <c r="DK37" s="16" t="s">
        <v>604</v>
      </c>
      <c r="DL37" s="16" t="s">
        <v>860</v>
      </c>
      <c r="DM37" s="16">
        <v>6211111</v>
      </c>
    </row>
    <row r="38" spans="1:117" x14ac:dyDescent="0.25">
      <c r="A38" s="11" t="str">
        <f t="shared" si="0"/>
        <v>EDWARD RIVERA - UNIT WILAYAH UTARA</v>
      </c>
      <c r="B38" s="12">
        <v>111122111149</v>
      </c>
      <c r="C38" s="12">
        <v>111122111049</v>
      </c>
      <c r="D38" s="13" t="s">
        <v>315</v>
      </c>
      <c r="E38" t="s">
        <v>122</v>
      </c>
      <c r="F38" t="s">
        <v>351</v>
      </c>
      <c r="G38" t="s">
        <v>352</v>
      </c>
      <c r="H38" t="s">
        <v>356</v>
      </c>
      <c r="I38" t="s">
        <v>398</v>
      </c>
      <c r="J38" t="s">
        <v>412</v>
      </c>
      <c r="K38">
        <v>0</v>
      </c>
      <c r="L38" t="s">
        <v>123</v>
      </c>
      <c r="M38">
        <v>0</v>
      </c>
      <c r="N38">
        <v>0</v>
      </c>
      <c r="O38">
        <v>0</v>
      </c>
      <c r="P38">
        <v>0</v>
      </c>
      <c r="Q38">
        <v>0</v>
      </c>
      <c r="R38">
        <v>3150000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63000</v>
      </c>
      <c r="CN38">
        <v>31500</v>
      </c>
      <c r="CO38">
        <v>31500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 s="14">
        <v>3024000</v>
      </c>
      <c r="DI38" s="11" t="s">
        <v>616</v>
      </c>
      <c r="DJ38" s="11" t="str">
        <f t="shared" si="1"/>
        <v>EDWARD RIVERA</v>
      </c>
      <c r="DK38" s="16" t="s">
        <v>604</v>
      </c>
      <c r="DL38" s="16" t="s">
        <v>830</v>
      </c>
      <c r="DM38" s="16">
        <v>6211111</v>
      </c>
    </row>
    <row r="39" spans="1:117" x14ac:dyDescent="0.25">
      <c r="A39" s="11" t="str">
        <f t="shared" si="0"/>
        <v>ROBERT BAKER - UNIT WILAYAH UTARA</v>
      </c>
      <c r="B39" s="12">
        <v>11103825</v>
      </c>
      <c r="C39" s="12" t="s">
        <v>461</v>
      </c>
      <c r="D39" s="13" t="s">
        <v>239</v>
      </c>
      <c r="E39" t="s">
        <v>116</v>
      </c>
      <c r="F39" t="s">
        <v>351</v>
      </c>
      <c r="G39" t="s">
        <v>352</v>
      </c>
      <c r="H39" t="s">
        <v>355</v>
      </c>
      <c r="I39" t="s">
        <v>398</v>
      </c>
      <c r="J39" t="s">
        <v>412</v>
      </c>
      <c r="K39" t="s">
        <v>117</v>
      </c>
      <c r="L39" t="s">
        <v>118</v>
      </c>
      <c r="M39">
        <v>1004150</v>
      </c>
      <c r="N39">
        <v>2876500</v>
      </c>
      <c r="O39">
        <v>0</v>
      </c>
      <c r="P39">
        <v>0</v>
      </c>
      <c r="Q39">
        <v>0</v>
      </c>
      <c r="R39">
        <v>0</v>
      </c>
      <c r="S39">
        <v>0</v>
      </c>
      <c r="T39">
        <v>650000</v>
      </c>
      <c r="U39">
        <v>1613000</v>
      </c>
      <c r="V39">
        <v>175000</v>
      </c>
      <c r="W39">
        <v>0</v>
      </c>
      <c r="X39">
        <v>150000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66000</v>
      </c>
      <c r="BJ39">
        <v>10000</v>
      </c>
      <c r="BK39">
        <v>0</v>
      </c>
      <c r="BL39">
        <v>100000</v>
      </c>
      <c r="BM39">
        <v>20000</v>
      </c>
      <c r="BN39">
        <v>1000</v>
      </c>
      <c r="BO39">
        <v>0</v>
      </c>
      <c r="BP39">
        <v>0</v>
      </c>
      <c r="BQ39">
        <v>1071500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66000</v>
      </c>
      <c r="CM39">
        <v>109840</v>
      </c>
      <c r="CN39">
        <v>54920</v>
      </c>
      <c r="CO39">
        <v>54920</v>
      </c>
      <c r="CP39">
        <v>0</v>
      </c>
      <c r="CQ39">
        <v>0</v>
      </c>
      <c r="CR39">
        <v>0</v>
      </c>
      <c r="CS39">
        <v>0</v>
      </c>
      <c r="CT39">
        <v>192220</v>
      </c>
      <c r="CU39">
        <v>0</v>
      </c>
      <c r="CV39">
        <v>16476</v>
      </c>
      <c r="CW39">
        <v>48879</v>
      </c>
      <c r="CX39">
        <v>203204</v>
      </c>
      <c r="CY39">
        <v>109840</v>
      </c>
      <c r="CZ39">
        <v>219680</v>
      </c>
      <c r="DA39">
        <v>0</v>
      </c>
      <c r="DB39">
        <v>0</v>
      </c>
      <c r="DC39">
        <v>0</v>
      </c>
      <c r="DD39">
        <v>0</v>
      </c>
      <c r="DE39">
        <v>411900</v>
      </c>
      <c r="DF39">
        <v>0</v>
      </c>
      <c r="DG39">
        <v>0</v>
      </c>
      <c r="DH39" s="14">
        <v>4854250</v>
      </c>
      <c r="DI39" s="15" t="s">
        <v>685</v>
      </c>
      <c r="DJ39" s="11" t="str">
        <f t="shared" si="1"/>
        <v>ROBERT BAKER</v>
      </c>
      <c r="DK39" s="16" t="s">
        <v>604</v>
      </c>
      <c r="DL39" s="17" t="s">
        <v>823</v>
      </c>
      <c r="DM39" s="16">
        <v>6211111</v>
      </c>
    </row>
    <row r="40" spans="1:117" x14ac:dyDescent="0.25">
      <c r="A40" s="11" t="str">
        <f t="shared" si="0"/>
        <v>STEVEN WILLIAMS - UNIT WILAYAH UTARA</v>
      </c>
      <c r="B40" s="12">
        <v>11241101111107</v>
      </c>
      <c r="C40" s="12">
        <v>11241101111107</v>
      </c>
      <c r="D40" s="13" t="s">
        <v>279</v>
      </c>
      <c r="E40" t="s">
        <v>122</v>
      </c>
      <c r="F40" t="s">
        <v>351</v>
      </c>
      <c r="G40" t="s">
        <v>352</v>
      </c>
      <c r="H40" t="s">
        <v>356</v>
      </c>
      <c r="I40" t="s">
        <v>398</v>
      </c>
      <c r="J40" t="s">
        <v>412</v>
      </c>
      <c r="K40">
        <v>0</v>
      </c>
      <c r="L40" t="s">
        <v>123</v>
      </c>
      <c r="M40">
        <v>0</v>
      </c>
      <c r="N40">
        <v>0</v>
      </c>
      <c r="O40">
        <v>0</v>
      </c>
      <c r="P40">
        <v>0</v>
      </c>
      <c r="Q40">
        <v>0</v>
      </c>
      <c r="R40">
        <v>3000000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 s="14">
        <v>3000000</v>
      </c>
      <c r="DI40" s="11" t="s">
        <v>641</v>
      </c>
      <c r="DJ40" s="11" t="str">
        <f t="shared" si="1"/>
        <v>STEVEN WILLIAMS</v>
      </c>
      <c r="DK40" s="16" t="s">
        <v>604</v>
      </c>
      <c r="DL40" s="16" t="s">
        <v>848</v>
      </c>
      <c r="DM40" s="16">
        <v>6211111</v>
      </c>
    </row>
    <row r="41" spans="1:117" x14ac:dyDescent="0.25">
      <c r="A41" s="11" t="str">
        <f t="shared" si="0"/>
        <v>ANDREW THOMAS - UNIT WILAYAH UTARA</v>
      </c>
      <c r="B41" s="12">
        <v>11103897</v>
      </c>
      <c r="C41" s="12" t="s">
        <v>463</v>
      </c>
      <c r="D41" s="13" t="s">
        <v>178</v>
      </c>
      <c r="E41" t="s">
        <v>116</v>
      </c>
      <c r="F41" t="s">
        <v>351</v>
      </c>
      <c r="G41" t="s">
        <v>352</v>
      </c>
      <c r="H41" t="s">
        <v>355</v>
      </c>
      <c r="I41" t="s">
        <v>372</v>
      </c>
      <c r="J41" t="s">
        <v>413</v>
      </c>
      <c r="K41" t="s">
        <v>117</v>
      </c>
      <c r="L41" t="s">
        <v>118</v>
      </c>
      <c r="M41">
        <v>858000</v>
      </c>
      <c r="N41">
        <v>2506000</v>
      </c>
      <c r="O41">
        <v>0</v>
      </c>
      <c r="P41">
        <v>0</v>
      </c>
      <c r="Q41">
        <v>0</v>
      </c>
      <c r="R41">
        <v>0</v>
      </c>
      <c r="S41">
        <v>0</v>
      </c>
      <c r="T41">
        <v>650000</v>
      </c>
      <c r="U41">
        <v>1613000</v>
      </c>
      <c r="V41">
        <v>175000</v>
      </c>
      <c r="W41">
        <v>0</v>
      </c>
      <c r="X41">
        <v>150000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45432</v>
      </c>
      <c r="BJ41">
        <v>0</v>
      </c>
      <c r="BK41">
        <v>0</v>
      </c>
      <c r="BL41">
        <v>100000</v>
      </c>
      <c r="BM41">
        <v>20000</v>
      </c>
      <c r="BN41">
        <v>1000</v>
      </c>
      <c r="BO41">
        <v>0</v>
      </c>
      <c r="BP41">
        <v>0</v>
      </c>
      <c r="BQ41">
        <v>101500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45432</v>
      </c>
      <c r="CM41">
        <v>101280</v>
      </c>
      <c r="CN41">
        <v>50640</v>
      </c>
      <c r="CO41">
        <v>50640</v>
      </c>
      <c r="CP41">
        <v>0</v>
      </c>
      <c r="CQ41">
        <v>0</v>
      </c>
      <c r="CR41">
        <v>0</v>
      </c>
      <c r="CS41">
        <v>0</v>
      </c>
      <c r="CT41">
        <v>177240</v>
      </c>
      <c r="CU41">
        <v>0</v>
      </c>
      <c r="CV41">
        <v>15192</v>
      </c>
      <c r="CW41">
        <v>45070</v>
      </c>
      <c r="CX41">
        <v>187368</v>
      </c>
      <c r="CY41">
        <v>101280</v>
      </c>
      <c r="CZ41">
        <v>202560</v>
      </c>
      <c r="DA41">
        <v>0</v>
      </c>
      <c r="DB41">
        <v>0</v>
      </c>
      <c r="DC41">
        <v>0</v>
      </c>
      <c r="DD41">
        <v>0</v>
      </c>
      <c r="DE41">
        <v>379800</v>
      </c>
      <c r="DF41">
        <v>0</v>
      </c>
      <c r="DG41">
        <v>0</v>
      </c>
      <c r="DH41" s="14">
        <v>5349700</v>
      </c>
      <c r="DI41" s="15" t="s">
        <v>686</v>
      </c>
      <c r="DJ41" s="11" t="str">
        <f t="shared" si="1"/>
        <v>ANDREW THOMAS</v>
      </c>
      <c r="DK41" s="16" t="s">
        <v>604</v>
      </c>
      <c r="DL41" s="17" t="s">
        <v>860</v>
      </c>
      <c r="DM41" s="16">
        <v>6211111</v>
      </c>
    </row>
    <row r="42" spans="1:117" x14ac:dyDescent="0.25">
      <c r="A42" s="11" t="str">
        <f t="shared" si="0"/>
        <v>ANTHONY YOUNG - UNIT WILAYAH UTARA</v>
      </c>
      <c r="B42" s="12">
        <v>11114928</v>
      </c>
      <c r="C42" s="12" t="s">
        <v>462</v>
      </c>
      <c r="D42" s="13" t="s">
        <v>158</v>
      </c>
      <c r="E42" t="s">
        <v>116</v>
      </c>
      <c r="F42" t="s">
        <v>351</v>
      </c>
      <c r="G42" t="s">
        <v>352</v>
      </c>
      <c r="H42" t="s">
        <v>355</v>
      </c>
      <c r="I42" t="s">
        <v>372</v>
      </c>
      <c r="J42" t="s">
        <v>413</v>
      </c>
      <c r="K42" t="s">
        <v>119</v>
      </c>
      <c r="L42" t="s">
        <v>120</v>
      </c>
      <c r="M42">
        <v>0</v>
      </c>
      <c r="N42">
        <v>0</v>
      </c>
      <c r="O42">
        <v>0</v>
      </c>
      <c r="P42">
        <v>0</v>
      </c>
      <c r="Q42">
        <v>6000000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45879</v>
      </c>
      <c r="BJ42">
        <v>0</v>
      </c>
      <c r="BK42">
        <v>0</v>
      </c>
      <c r="BL42">
        <v>0</v>
      </c>
      <c r="BM42">
        <v>20000</v>
      </c>
      <c r="BN42">
        <v>1000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45879</v>
      </c>
      <c r="CM42">
        <v>120000</v>
      </c>
      <c r="CN42">
        <v>60000</v>
      </c>
      <c r="CO42">
        <v>60000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18000</v>
      </c>
      <c r="CW42">
        <v>53400</v>
      </c>
      <c r="CX42">
        <v>222000</v>
      </c>
      <c r="CY42">
        <v>120000</v>
      </c>
      <c r="CZ42">
        <v>240000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 s="14">
        <v>5739000</v>
      </c>
      <c r="DI42" s="11" t="s">
        <v>764</v>
      </c>
      <c r="DJ42" s="11" t="str">
        <f t="shared" si="1"/>
        <v>ANTHONY YOUNG</v>
      </c>
      <c r="DK42" s="16" t="s">
        <v>604</v>
      </c>
      <c r="DL42" s="16" t="s">
        <v>846</v>
      </c>
      <c r="DM42" s="16">
        <v>6211111</v>
      </c>
    </row>
    <row r="43" spans="1:117" x14ac:dyDescent="0.25">
      <c r="A43" s="11" t="str">
        <f t="shared" si="0"/>
        <v>NANCY HILL - UNIT WILAYAH UTARA</v>
      </c>
      <c r="B43" s="12">
        <v>111123110068</v>
      </c>
      <c r="C43" s="12">
        <v>111123110068</v>
      </c>
      <c r="D43" s="13" t="s">
        <v>198</v>
      </c>
      <c r="E43" t="s">
        <v>122</v>
      </c>
      <c r="F43" t="s">
        <v>351</v>
      </c>
      <c r="G43" t="s">
        <v>352</v>
      </c>
      <c r="H43" t="s">
        <v>356</v>
      </c>
      <c r="I43" t="s">
        <v>372</v>
      </c>
      <c r="J43" t="s">
        <v>413</v>
      </c>
      <c r="K43">
        <v>0</v>
      </c>
      <c r="L43" t="s">
        <v>123</v>
      </c>
      <c r="M43">
        <v>0</v>
      </c>
      <c r="N43">
        <v>0</v>
      </c>
      <c r="O43">
        <v>0</v>
      </c>
      <c r="P43">
        <v>0</v>
      </c>
      <c r="Q43">
        <v>0</v>
      </c>
      <c r="R43">
        <v>3650000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194567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73000</v>
      </c>
      <c r="CN43">
        <v>36500</v>
      </c>
      <c r="CO43">
        <v>36500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 s="14">
        <v>3309433</v>
      </c>
      <c r="DI43" s="11" t="s">
        <v>634</v>
      </c>
      <c r="DJ43" s="11" t="str">
        <f t="shared" si="1"/>
        <v>NANCY HILL</v>
      </c>
      <c r="DK43" s="16" t="s">
        <v>604</v>
      </c>
      <c r="DL43" s="16" t="s">
        <v>842</v>
      </c>
      <c r="DM43" s="16">
        <v>6211111</v>
      </c>
    </row>
    <row r="44" spans="1:117" x14ac:dyDescent="0.25">
      <c r="A44" s="11" t="str">
        <f t="shared" si="0"/>
        <v>ANTHONY GARCIA - UNIT WILAYAH UTARA</v>
      </c>
      <c r="B44" s="12">
        <v>11102997</v>
      </c>
      <c r="C44" s="12" t="s">
        <v>537</v>
      </c>
      <c r="D44" s="13" t="s">
        <v>256</v>
      </c>
      <c r="E44" t="s">
        <v>116</v>
      </c>
      <c r="F44" t="s">
        <v>351</v>
      </c>
      <c r="G44" t="s">
        <v>352</v>
      </c>
      <c r="H44" t="s">
        <v>359</v>
      </c>
      <c r="I44" t="s">
        <v>371</v>
      </c>
      <c r="J44" t="s">
        <v>414</v>
      </c>
      <c r="K44" t="s">
        <v>119</v>
      </c>
      <c r="L44" t="s">
        <v>120</v>
      </c>
      <c r="M44">
        <v>0</v>
      </c>
      <c r="N44">
        <v>0</v>
      </c>
      <c r="O44">
        <v>0</v>
      </c>
      <c r="P44">
        <v>0</v>
      </c>
      <c r="Q44">
        <v>6708000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242300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85921</v>
      </c>
      <c r="BJ44">
        <v>2694580</v>
      </c>
      <c r="BK44">
        <v>0</v>
      </c>
      <c r="BL44">
        <v>0</v>
      </c>
      <c r="BM44">
        <v>20000</v>
      </c>
      <c r="BN44">
        <v>1000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88950</v>
      </c>
      <c r="CM44">
        <v>134160</v>
      </c>
      <c r="CN44">
        <v>67080</v>
      </c>
      <c r="CO44">
        <v>67080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20124</v>
      </c>
      <c r="CW44">
        <v>59701</v>
      </c>
      <c r="CX44">
        <v>248196</v>
      </c>
      <c r="CY44">
        <v>134160</v>
      </c>
      <c r="CZ44">
        <v>268320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 s="14">
        <v>3963371</v>
      </c>
      <c r="DI44" s="15" t="s">
        <v>666</v>
      </c>
      <c r="DJ44" s="11" t="str">
        <f t="shared" si="1"/>
        <v>ANTHONY GARCIA</v>
      </c>
      <c r="DK44" s="16" t="s">
        <v>604</v>
      </c>
      <c r="DL44" s="17" t="s">
        <v>846</v>
      </c>
      <c r="DM44" s="16">
        <v>6211111</v>
      </c>
    </row>
    <row r="45" spans="1:117" x14ac:dyDescent="0.25">
      <c r="A45" s="11" t="str">
        <f t="shared" si="0"/>
        <v>BARBARA JOHNSON - UNIT WILAYAH UTARA</v>
      </c>
      <c r="B45" s="12">
        <v>11101995</v>
      </c>
      <c r="C45" s="12" t="s">
        <v>590</v>
      </c>
      <c r="D45" s="13" t="s">
        <v>188</v>
      </c>
      <c r="E45" t="s">
        <v>116</v>
      </c>
      <c r="F45" t="s">
        <v>351</v>
      </c>
      <c r="G45" t="s">
        <v>352</v>
      </c>
      <c r="H45" t="s">
        <v>355</v>
      </c>
      <c r="I45" t="s">
        <v>371</v>
      </c>
      <c r="J45" t="s">
        <v>414</v>
      </c>
      <c r="K45" t="s">
        <v>117</v>
      </c>
      <c r="L45" t="s">
        <v>118</v>
      </c>
      <c r="M45">
        <v>1594000</v>
      </c>
      <c r="N45">
        <v>4679000</v>
      </c>
      <c r="O45">
        <v>0</v>
      </c>
      <c r="P45">
        <v>0</v>
      </c>
      <c r="Q45">
        <v>0</v>
      </c>
      <c r="R45">
        <v>0</v>
      </c>
      <c r="S45">
        <v>0</v>
      </c>
      <c r="T45">
        <v>650000</v>
      </c>
      <c r="U45">
        <v>1613000</v>
      </c>
      <c r="V45">
        <v>175000</v>
      </c>
      <c r="W45">
        <v>0</v>
      </c>
      <c r="X45">
        <v>150000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252900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90387</v>
      </c>
      <c r="BJ45">
        <v>0</v>
      </c>
      <c r="BK45">
        <v>0</v>
      </c>
      <c r="BL45">
        <v>100000</v>
      </c>
      <c r="BM45">
        <v>20000</v>
      </c>
      <c r="BN45">
        <v>1000</v>
      </c>
      <c r="BO45">
        <v>0</v>
      </c>
      <c r="BP45">
        <v>0</v>
      </c>
      <c r="BQ45">
        <v>321500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139375</v>
      </c>
      <c r="CM45">
        <v>146860</v>
      </c>
      <c r="CN45">
        <v>73430</v>
      </c>
      <c r="CO45">
        <v>73430</v>
      </c>
      <c r="CP45">
        <v>0</v>
      </c>
      <c r="CQ45">
        <v>24620</v>
      </c>
      <c r="CR45">
        <v>0</v>
      </c>
      <c r="CS45">
        <v>80015</v>
      </c>
      <c r="CT45">
        <v>0</v>
      </c>
      <c r="CU45">
        <v>0</v>
      </c>
      <c r="CV45">
        <v>22029</v>
      </c>
      <c r="CW45">
        <v>65353</v>
      </c>
      <c r="CX45">
        <v>271691</v>
      </c>
      <c r="CY45">
        <v>146860</v>
      </c>
      <c r="CZ45">
        <v>293720</v>
      </c>
      <c r="DA45">
        <v>0</v>
      </c>
      <c r="DB45">
        <v>49240</v>
      </c>
      <c r="DC45">
        <v>83708</v>
      </c>
      <c r="DD45">
        <v>0</v>
      </c>
      <c r="DE45">
        <v>0</v>
      </c>
      <c r="DF45">
        <v>0</v>
      </c>
      <c r="DG45">
        <v>0</v>
      </c>
      <c r="DH45" s="14">
        <v>8224057</v>
      </c>
      <c r="DI45" s="15" t="s">
        <v>810</v>
      </c>
      <c r="DJ45" s="11" t="str">
        <f t="shared" si="1"/>
        <v>BARBARA JOHNSON</v>
      </c>
      <c r="DK45" s="16" t="s">
        <v>604</v>
      </c>
      <c r="DL45" s="17" t="s">
        <v>855</v>
      </c>
      <c r="DM45" s="16">
        <v>6211111</v>
      </c>
    </row>
    <row r="46" spans="1:117" x14ac:dyDescent="0.25">
      <c r="A46" s="11" t="str">
        <f t="shared" si="0"/>
        <v>MARY WRIGHT - UNIT WILAYAH UTARA</v>
      </c>
      <c r="B46" s="12">
        <v>11113907</v>
      </c>
      <c r="C46" s="12" t="s">
        <v>464</v>
      </c>
      <c r="D46" s="13" t="s">
        <v>225</v>
      </c>
      <c r="E46" t="s">
        <v>116</v>
      </c>
      <c r="F46" t="s">
        <v>351</v>
      </c>
      <c r="G46" t="s">
        <v>352</v>
      </c>
      <c r="H46" t="s">
        <v>355</v>
      </c>
      <c r="I46" t="s">
        <v>371</v>
      </c>
      <c r="J46" t="s">
        <v>414</v>
      </c>
      <c r="K46" t="s">
        <v>119</v>
      </c>
      <c r="L46" t="s">
        <v>120</v>
      </c>
      <c r="M46">
        <v>0</v>
      </c>
      <c r="N46">
        <v>0</v>
      </c>
      <c r="O46">
        <v>0</v>
      </c>
      <c r="P46">
        <v>0</v>
      </c>
      <c r="Q46">
        <v>4961753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337100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245222</v>
      </c>
      <c r="BK46">
        <v>0</v>
      </c>
      <c r="BL46">
        <v>0</v>
      </c>
      <c r="BM46">
        <v>20000</v>
      </c>
      <c r="BN46">
        <v>1000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99235</v>
      </c>
      <c r="CN46">
        <v>49618</v>
      </c>
      <c r="CO46">
        <v>49618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14885</v>
      </c>
      <c r="CW46">
        <v>44160</v>
      </c>
      <c r="CX46">
        <v>183585</v>
      </c>
      <c r="CY46">
        <v>99235</v>
      </c>
      <c r="CZ46">
        <v>198470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 s="14">
        <v>4834160</v>
      </c>
      <c r="DI46" s="11" t="s">
        <v>757</v>
      </c>
      <c r="DJ46" s="11" t="str">
        <f t="shared" si="1"/>
        <v>MARY WRIGHT</v>
      </c>
      <c r="DK46" s="16" t="s">
        <v>604</v>
      </c>
      <c r="DL46" s="16" t="s">
        <v>862</v>
      </c>
      <c r="DM46" s="16">
        <v>6211111</v>
      </c>
    </row>
    <row r="47" spans="1:117" x14ac:dyDescent="0.25">
      <c r="A47" s="11" t="str">
        <f t="shared" si="0"/>
        <v>RICHARD SANCHEZ - UNIT WILAYAH UTARA</v>
      </c>
      <c r="B47" s="12">
        <v>11241101111109</v>
      </c>
      <c r="C47" s="12">
        <v>11241101111109</v>
      </c>
      <c r="D47" s="13" t="s">
        <v>157</v>
      </c>
      <c r="E47" t="s">
        <v>122</v>
      </c>
      <c r="F47" t="s">
        <v>351</v>
      </c>
      <c r="G47" t="s">
        <v>352</v>
      </c>
      <c r="H47" t="s">
        <v>356</v>
      </c>
      <c r="I47" t="s">
        <v>371</v>
      </c>
      <c r="J47" t="s">
        <v>414</v>
      </c>
      <c r="K47">
        <v>0</v>
      </c>
      <c r="L47" t="s">
        <v>123</v>
      </c>
      <c r="M47">
        <v>0</v>
      </c>
      <c r="N47">
        <v>0</v>
      </c>
      <c r="O47">
        <v>0</v>
      </c>
      <c r="P47">
        <v>0</v>
      </c>
      <c r="Q47">
        <v>0</v>
      </c>
      <c r="R47">
        <v>3000000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252900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 s="14">
        <v>3252900</v>
      </c>
      <c r="DI47" s="11" t="s">
        <v>643</v>
      </c>
      <c r="DJ47" s="11" t="str">
        <f t="shared" si="1"/>
        <v>RICHARD SANCHEZ</v>
      </c>
      <c r="DK47" s="16" t="s">
        <v>604</v>
      </c>
      <c r="DL47" s="16" t="s">
        <v>825</v>
      </c>
      <c r="DM47" s="16">
        <v>6211111</v>
      </c>
    </row>
    <row r="48" spans="1:117" x14ac:dyDescent="0.25">
      <c r="A48" s="11" t="str">
        <f t="shared" si="0"/>
        <v>DOROTHY CAMPBELL - UNIT WILAYAH UTARA</v>
      </c>
      <c r="B48" s="12">
        <v>111123050061</v>
      </c>
      <c r="C48" s="12">
        <v>111123050061</v>
      </c>
      <c r="D48" s="13" t="s">
        <v>289</v>
      </c>
      <c r="E48" t="s">
        <v>122</v>
      </c>
      <c r="F48" t="s">
        <v>351</v>
      </c>
      <c r="G48" t="s">
        <v>352</v>
      </c>
      <c r="H48" t="s">
        <v>356</v>
      </c>
      <c r="I48" t="s">
        <v>395</v>
      </c>
      <c r="J48" t="s">
        <v>415</v>
      </c>
      <c r="K48">
        <v>0</v>
      </c>
      <c r="L48" t="s">
        <v>123</v>
      </c>
      <c r="M48">
        <v>0</v>
      </c>
      <c r="N48">
        <v>0</v>
      </c>
      <c r="O48">
        <v>0</v>
      </c>
      <c r="P48">
        <v>0</v>
      </c>
      <c r="Q48">
        <v>0</v>
      </c>
      <c r="R48">
        <v>4150000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60000</v>
      </c>
      <c r="CN48">
        <v>30000</v>
      </c>
      <c r="CO48">
        <v>30000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 s="14">
        <v>4030000</v>
      </c>
      <c r="DI48" s="11" t="s">
        <v>622</v>
      </c>
      <c r="DJ48" s="11" t="str">
        <f t="shared" si="1"/>
        <v>DOROTHY CAMPBELL</v>
      </c>
      <c r="DK48" s="16" t="s">
        <v>604</v>
      </c>
      <c r="DL48" s="16" t="s">
        <v>834</v>
      </c>
      <c r="DM48" s="16">
        <v>6211111</v>
      </c>
    </row>
    <row r="49" spans="1:117" x14ac:dyDescent="0.25">
      <c r="A49" s="11" t="str">
        <f t="shared" si="0"/>
        <v>JAMES NGUYEN - UNIT WILAYAH UTARA</v>
      </c>
      <c r="B49" s="12">
        <v>111123050182</v>
      </c>
      <c r="C49" s="12">
        <v>111123050182</v>
      </c>
      <c r="D49" s="13" t="s">
        <v>254</v>
      </c>
      <c r="E49" t="s">
        <v>122</v>
      </c>
      <c r="F49" t="s">
        <v>351</v>
      </c>
      <c r="G49" t="s">
        <v>352</v>
      </c>
      <c r="H49" t="s">
        <v>356</v>
      </c>
      <c r="I49" t="s">
        <v>395</v>
      </c>
      <c r="J49" t="s">
        <v>415</v>
      </c>
      <c r="K49">
        <v>0</v>
      </c>
      <c r="L49" t="s">
        <v>123</v>
      </c>
      <c r="M49">
        <v>0</v>
      </c>
      <c r="N49">
        <v>0</v>
      </c>
      <c r="O49">
        <v>0</v>
      </c>
      <c r="P49">
        <v>0</v>
      </c>
      <c r="Q49">
        <v>0</v>
      </c>
      <c r="R49">
        <v>4150000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83000</v>
      </c>
      <c r="CN49">
        <v>41500</v>
      </c>
      <c r="CO49">
        <v>41500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 s="14">
        <v>3984000</v>
      </c>
      <c r="DI49" s="11" t="s">
        <v>625</v>
      </c>
      <c r="DJ49" s="11" t="str">
        <f t="shared" si="1"/>
        <v>JAMES NGUYEN</v>
      </c>
      <c r="DK49" s="16" t="s">
        <v>604</v>
      </c>
      <c r="DL49" s="16" t="s">
        <v>837</v>
      </c>
      <c r="DM49" s="16">
        <v>6211111</v>
      </c>
    </row>
    <row r="50" spans="1:117" x14ac:dyDescent="0.25">
      <c r="A50" s="11" t="str">
        <f t="shared" si="0"/>
        <v>RICHARD WALKER - UNIT WILAYAH UTARA</v>
      </c>
      <c r="B50" s="12">
        <v>11115057</v>
      </c>
      <c r="C50" s="12" t="s">
        <v>466</v>
      </c>
      <c r="D50" s="13" t="s">
        <v>323</v>
      </c>
      <c r="E50" t="s">
        <v>116</v>
      </c>
      <c r="F50" t="s">
        <v>351</v>
      </c>
      <c r="G50" t="s">
        <v>352</v>
      </c>
      <c r="H50" t="s">
        <v>355</v>
      </c>
      <c r="I50" t="s">
        <v>395</v>
      </c>
      <c r="J50" t="s">
        <v>415</v>
      </c>
      <c r="K50" t="s">
        <v>117</v>
      </c>
      <c r="L50" t="s">
        <v>118</v>
      </c>
      <c r="M50">
        <v>605000</v>
      </c>
      <c r="N50">
        <v>1808000</v>
      </c>
      <c r="O50">
        <v>0</v>
      </c>
      <c r="P50">
        <v>0</v>
      </c>
      <c r="Q50">
        <v>0</v>
      </c>
      <c r="R50">
        <v>0</v>
      </c>
      <c r="S50">
        <v>0</v>
      </c>
      <c r="T50">
        <v>650000</v>
      </c>
      <c r="U50">
        <v>1613000</v>
      </c>
      <c r="V50">
        <v>175000</v>
      </c>
      <c r="W50">
        <v>0</v>
      </c>
      <c r="X50">
        <v>150000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20000</v>
      </c>
      <c r="BN50">
        <v>1000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97020</v>
      </c>
      <c r="CN50">
        <v>48510</v>
      </c>
      <c r="CO50">
        <v>48510</v>
      </c>
      <c r="CP50">
        <v>0</v>
      </c>
      <c r="CQ50">
        <v>0</v>
      </c>
      <c r="CR50">
        <v>0</v>
      </c>
      <c r="CS50">
        <v>0</v>
      </c>
      <c r="CT50">
        <v>169785</v>
      </c>
      <c r="CU50">
        <v>0</v>
      </c>
      <c r="CV50">
        <v>14553</v>
      </c>
      <c r="CW50">
        <v>43174</v>
      </c>
      <c r="CX50">
        <v>179487</v>
      </c>
      <c r="CY50">
        <v>97020</v>
      </c>
      <c r="CZ50">
        <v>194040</v>
      </c>
      <c r="DA50">
        <v>0</v>
      </c>
      <c r="DB50">
        <v>0</v>
      </c>
      <c r="DC50">
        <v>0</v>
      </c>
      <c r="DD50">
        <v>0</v>
      </c>
      <c r="DE50">
        <v>363825</v>
      </c>
      <c r="DF50">
        <v>0</v>
      </c>
      <c r="DG50">
        <v>0</v>
      </c>
      <c r="DH50" s="14">
        <v>4616175</v>
      </c>
      <c r="DI50" s="11" t="s">
        <v>701</v>
      </c>
      <c r="DJ50" s="11" t="str">
        <f t="shared" si="1"/>
        <v>RICHARD WALKER</v>
      </c>
      <c r="DK50" s="16" t="s">
        <v>604</v>
      </c>
      <c r="DL50" s="16" t="s">
        <v>825</v>
      </c>
      <c r="DM50" s="16">
        <v>6211111</v>
      </c>
    </row>
    <row r="51" spans="1:117" x14ac:dyDescent="0.25">
      <c r="A51" s="11" t="str">
        <f t="shared" si="0"/>
        <v>THOMAS NELSON - UNIT WILAYAH UTARA</v>
      </c>
      <c r="B51" s="12">
        <v>11102929</v>
      </c>
      <c r="C51" s="12" t="s">
        <v>465</v>
      </c>
      <c r="D51" s="13" t="s">
        <v>219</v>
      </c>
      <c r="E51" t="s">
        <v>116</v>
      </c>
      <c r="F51" t="s">
        <v>351</v>
      </c>
      <c r="G51" t="s">
        <v>352</v>
      </c>
      <c r="H51" t="s">
        <v>355</v>
      </c>
      <c r="I51" t="s">
        <v>395</v>
      </c>
      <c r="J51" t="s">
        <v>415</v>
      </c>
      <c r="K51" t="s">
        <v>117</v>
      </c>
      <c r="L51" t="s">
        <v>118</v>
      </c>
      <c r="M51">
        <v>1631500</v>
      </c>
      <c r="N51">
        <v>6396000</v>
      </c>
      <c r="O51">
        <v>0</v>
      </c>
      <c r="P51">
        <v>0</v>
      </c>
      <c r="Q51">
        <v>0</v>
      </c>
      <c r="R51">
        <v>0</v>
      </c>
      <c r="S51">
        <v>1800000</v>
      </c>
      <c r="T51">
        <v>0</v>
      </c>
      <c r="U51">
        <v>1131000</v>
      </c>
      <c r="V51">
        <v>225000</v>
      </c>
      <c r="W51">
        <v>0</v>
      </c>
      <c r="X51">
        <v>600000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1394633</v>
      </c>
      <c r="BJ51">
        <v>10000</v>
      </c>
      <c r="BK51">
        <v>0</v>
      </c>
      <c r="BL51">
        <v>0</v>
      </c>
      <c r="BM51">
        <v>20000</v>
      </c>
      <c r="BN51">
        <v>1000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1394633</v>
      </c>
      <c r="CM51">
        <v>191240</v>
      </c>
      <c r="CN51">
        <v>95620</v>
      </c>
      <c r="CO51">
        <v>89397</v>
      </c>
      <c r="CP51">
        <v>0</v>
      </c>
      <c r="CQ51">
        <v>0</v>
      </c>
      <c r="CR51">
        <v>0</v>
      </c>
      <c r="CS51">
        <v>0</v>
      </c>
      <c r="CT51">
        <v>334670</v>
      </c>
      <c r="CU51">
        <v>0</v>
      </c>
      <c r="CV51">
        <v>28686</v>
      </c>
      <c r="CW51">
        <v>85102</v>
      </c>
      <c r="CX51">
        <v>353794</v>
      </c>
      <c r="CY51">
        <v>178794</v>
      </c>
      <c r="CZ51">
        <v>382480</v>
      </c>
      <c r="DA51">
        <v>0</v>
      </c>
      <c r="DB51">
        <v>0</v>
      </c>
      <c r="DC51">
        <v>0</v>
      </c>
      <c r="DD51">
        <v>0</v>
      </c>
      <c r="DE51">
        <v>717150</v>
      </c>
      <c r="DF51">
        <v>0</v>
      </c>
      <c r="DG51">
        <v>0</v>
      </c>
      <c r="DH51" s="14">
        <v>11041573</v>
      </c>
      <c r="DI51" s="15" t="s">
        <v>663</v>
      </c>
      <c r="DJ51" s="11" t="str">
        <f t="shared" si="1"/>
        <v>THOMAS NELSON</v>
      </c>
      <c r="DK51" s="16" t="s">
        <v>604</v>
      </c>
      <c r="DL51" s="17" t="s">
        <v>832</v>
      </c>
      <c r="DM51" s="16">
        <v>6211111</v>
      </c>
    </row>
    <row r="52" spans="1:117" x14ac:dyDescent="0.25">
      <c r="A52" s="11" t="str">
        <f t="shared" si="0"/>
        <v>DOROTHY ALLEN - UNIT WILAYAH UTARA</v>
      </c>
      <c r="B52" s="12">
        <v>11104135</v>
      </c>
      <c r="C52" s="12" t="s">
        <v>468</v>
      </c>
      <c r="D52" s="13" t="s">
        <v>228</v>
      </c>
      <c r="E52" t="s">
        <v>116</v>
      </c>
      <c r="F52" t="s">
        <v>351</v>
      </c>
      <c r="G52" t="s">
        <v>352</v>
      </c>
      <c r="H52" t="s">
        <v>355</v>
      </c>
      <c r="I52" t="s">
        <v>367</v>
      </c>
      <c r="J52" t="s">
        <v>416</v>
      </c>
      <c r="K52" t="s">
        <v>117</v>
      </c>
      <c r="L52" t="s">
        <v>118</v>
      </c>
      <c r="M52">
        <v>277200</v>
      </c>
      <c r="N52">
        <v>775920</v>
      </c>
      <c r="O52">
        <v>0</v>
      </c>
      <c r="P52">
        <v>0</v>
      </c>
      <c r="Q52">
        <v>0</v>
      </c>
      <c r="R52">
        <v>0</v>
      </c>
      <c r="S52">
        <v>0</v>
      </c>
      <c r="T52">
        <v>78000</v>
      </c>
      <c r="U52">
        <v>193560</v>
      </c>
      <c r="V52">
        <v>21000</v>
      </c>
      <c r="W52">
        <v>0</v>
      </c>
      <c r="X52">
        <v>150000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286200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530028</v>
      </c>
      <c r="BJ52">
        <v>0</v>
      </c>
      <c r="BK52">
        <v>0</v>
      </c>
      <c r="BL52">
        <v>0</v>
      </c>
      <c r="BM52">
        <v>20000</v>
      </c>
      <c r="BN52">
        <v>1000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530028</v>
      </c>
      <c r="CM52">
        <v>101280</v>
      </c>
      <c r="CN52">
        <v>50640</v>
      </c>
      <c r="CO52">
        <v>50640</v>
      </c>
      <c r="CP52">
        <v>0</v>
      </c>
      <c r="CQ52">
        <v>0</v>
      </c>
      <c r="CR52">
        <v>0</v>
      </c>
      <c r="CS52">
        <v>0</v>
      </c>
      <c r="CT52">
        <v>177240</v>
      </c>
      <c r="CU52">
        <v>0</v>
      </c>
      <c r="CV52">
        <v>15192</v>
      </c>
      <c r="CW52">
        <v>45070</v>
      </c>
      <c r="CX52">
        <v>187368</v>
      </c>
      <c r="CY52">
        <v>101280</v>
      </c>
      <c r="CZ52">
        <v>202560</v>
      </c>
      <c r="DA52">
        <v>0</v>
      </c>
      <c r="DB52">
        <v>0</v>
      </c>
      <c r="DC52">
        <v>0</v>
      </c>
      <c r="DD52">
        <v>0</v>
      </c>
      <c r="DE52">
        <v>379800</v>
      </c>
      <c r="DF52">
        <v>0</v>
      </c>
      <c r="DG52">
        <v>0</v>
      </c>
      <c r="DH52" s="14">
        <v>1381080</v>
      </c>
      <c r="DI52" s="15" t="s">
        <v>697</v>
      </c>
      <c r="DJ52" s="11" t="str">
        <f t="shared" si="1"/>
        <v>DOROTHY ALLEN</v>
      </c>
      <c r="DK52" s="16" t="s">
        <v>604</v>
      </c>
      <c r="DL52" s="17" t="s">
        <v>834</v>
      </c>
      <c r="DM52" s="16">
        <v>6211111</v>
      </c>
    </row>
    <row r="53" spans="1:117" x14ac:dyDescent="0.25">
      <c r="A53" s="11" t="str">
        <f t="shared" si="0"/>
        <v>JENNIFER TORRES - UNIT WILAYAH UTARA</v>
      </c>
      <c r="B53" s="12">
        <v>11113855</v>
      </c>
      <c r="C53" s="12" t="s">
        <v>467</v>
      </c>
      <c r="D53" s="13" t="s">
        <v>153</v>
      </c>
      <c r="E53" t="s">
        <v>116</v>
      </c>
      <c r="F53" t="s">
        <v>351</v>
      </c>
      <c r="G53" t="s">
        <v>352</v>
      </c>
      <c r="H53" t="s">
        <v>355</v>
      </c>
      <c r="I53" t="s">
        <v>367</v>
      </c>
      <c r="J53" t="s">
        <v>416</v>
      </c>
      <c r="K53" t="s">
        <v>119</v>
      </c>
      <c r="L53" t="s">
        <v>120</v>
      </c>
      <c r="M53">
        <v>0</v>
      </c>
      <c r="N53">
        <v>0</v>
      </c>
      <c r="O53">
        <v>0</v>
      </c>
      <c r="P53">
        <v>0</v>
      </c>
      <c r="Q53">
        <v>6000000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486200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45879</v>
      </c>
      <c r="BJ53">
        <v>0</v>
      </c>
      <c r="BK53">
        <v>0</v>
      </c>
      <c r="BL53">
        <v>0</v>
      </c>
      <c r="BM53">
        <v>20000</v>
      </c>
      <c r="BN53">
        <v>1000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66034</v>
      </c>
      <c r="CM53">
        <v>120000</v>
      </c>
      <c r="CN53">
        <v>60000</v>
      </c>
      <c r="CO53">
        <v>60000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18000</v>
      </c>
      <c r="CW53">
        <v>53400</v>
      </c>
      <c r="CX53">
        <v>222000</v>
      </c>
      <c r="CY53">
        <v>120000</v>
      </c>
      <c r="CZ53">
        <v>240000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 s="14">
        <v>6205045</v>
      </c>
      <c r="DI53" s="11" t="s">
        <v>733</v>
      </c>
      <c r="DJ53" s="11" t="str">
        <f t="shared" si="1"/>
        <v>JENNIFER TORRES</v>
      </c>
      <c r="DK53" s="16" t="s">
        <v>604</v>
      </c>
      <c r="DL53" s="16" t="s">
        <v>844</v>
      </c>
      <c r="DM53" s="16">
        <v>6211111</v>
      </c>
    </row>
    <row r="54" spans="1:117" x14ac:dyDescent="0.25">
      <c r="A54" s="11" t="str">
        <f t="shared" si="0"/>
        <v>KENNETH JACKSON - UNIT WILAYAH UTARA</v>
      </c>
      <c r="B54" s="12">
        <v>11113423</v>
      </c>
      <c r="C54" s="12" t="s">
        <v>469</v>
      </c>
      <c r="D54" s="13" t="s">
        <v>286</v>
      </c>
      <c r="E54" t="s">
        <v>116</v>
      </c>
      <c r="F54" t="s">
        <v>351</v>
      </c>
      <c r="G54" t="s">
        <v>352</v>
      </c>
      <c r="H54" t="s">
        <v>355</v>
      </c>
      <c r="I54" t="s">
        <v>367</v>
      </c>
      <c r="J54" t="s">
        <v>416</v>
      </c>
      <c r="K54" t="s">
        <v>119</v>
      </c>
      <c r="L54" t="s">
        <v>120</v>
      </c>
      <c r="M54">
        <v>0</v>
      </c>
      <c r="N54">
        <v>0</v>
      </c>
      <c r="O54">
        <v>0</v>
      </c>
      <c r="P54">
        <v>0</v>
      </c>
      <c r="Q54">
        <v>4961753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381600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20000</v>
      </c>
      <c r="BN54">
        <v>1000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13505</v>
      </c>
      <c r="CM54">
        <v>99235</v>
      </c>
      <c r="CN54">
        <v>49618</v>
      </c>
      <c r="CO54">
        <v>49618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14885</v>
      </c>
      <c r="CW54">
        <v>44160</v>
      </c>
      <c r="CX54">
        <v>183585</v>
      </c>
      <c r="CY54">
        <v>99235</v>
      </c>
      <c r="CZ54">
        <v>198470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 s="14">
        <v>5110377</v>
      </c>
      <c r="DI54" s="11" t="s">
        <v>766</v>
      </c>
      <c r="DJ54" s="11" t="str">
        <f t="shared" si="1"/>
        <v>KENNETH JACKSON</v>
      </c>
      <c r="DK54" s="16" t="s">
        <v>604</v>
      </c>
      <c r="DL54" s="16" t="s">
        <v>847</v>
      </c>
      <c r="DM54" s="16">
        <v>6211111</v>
      </c>
    </row>
    <row r="55" spans="1:117" x14ac:dyDescent="0.25">
      <c r="A55" s="11" t="str">
        <f t="shared" si="0"/>
        <v>LINDA NELSON - UNIT WILAYAH UTARA</v>
      </c>
      <c r="B55" s="12">
        <v>111123010119</v>
      </c>
      <c r="C55" s="12">
        <v>111123010119</v>
      </c>
      <c r="D55" s="13" t="s">
        <v>275</v>
      </c>
      <c r="E55" t="s">
        <v>122</v>
      </c>
      <c r="F55" t="s">
        <v>351</v>
      </c>
      <c r="G55" t="s">
        <v>352</v>
      </c>
      <c r="H55" t="s">
        <v>356</v>
      </c>
      <c r="I55" t="s">
        <v>367</v>
      </c>
      <c r="J55" t="s">
        <v>416</v>
      </c>
      <c r="K55">
        <v>0</v>
      </c>
      <c r="L55" t="s">
        <v>123</v>
      </c>
      <c r="M55">
        <v>0</v>
      </c>
      <c r="N55">
        <v>0</v>
      </c>
      <c r="O55">
        <v>0</v>
      </c>
      <c r="P55">
        <v>0</v>
      </c>
      <c r="Q55">
        <v>0</v>
      </c>
      <c r="R55">
        <v>4150000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286200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83000</v>
      </c>
      <c r="CN55">
        <v>41500</v>
      </c>
      <c r="CO55">
        <v>41500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 s="14">
        <v>4270200</v>
      </c>
      <c r="DI55" s="11" t="s">
        <v>618</v>
      </c>
      <c r="DJ55" s="11" t="str">
        <f t="shared" si="1"/>
        <v>LINDA NELSON</v>
      </c>
      <c r="DK55" s="16" t="s">
        <v>604</v>
      </c>
      <c r="DL55" s="16" t="s">
        <v>827</v>
      </c>
      <c r="DM55" s="16">
        <v>6211111</v>
      </c>
    </row>
    <row r="56" spans="1:117" x14ac:dyDescent="0.25">
      <c r="A56" s="11" t="str">
        <f t="shared" si="0"/>
        <v>JOHN RAMIREZ - UNIT WILAYAH UTARA</v>
      </c>
      <c r="B56" s="12">
        <v>11113846</v>
      </c>
      <c r="C56" s="12" t="s">
        <v>470</v>
      </c>
      <c r="D56" s="13" t="s">
        <v>231</v>
      </c>
      <c r="E56" t="s">
        <v>116</v>
      </c>
      <c r="F56" t="s">
        <v>351</v>
      </c>
      <c r="G56" t="s">
        <v>352</v>
      </c>
      <c r="H56" t="s">
        <v>355</v>
      </c>
      <c r="I56" t="s">
        <v>394</v>
      </c>
      <c r="J56" t="s">
        <v>417</v>
      </c>
      <c r="K56" t="s">
        <v>119</v>
      </c>
      <c r="L56" t="s">
        <v>120</v>
      </c>
      <c r="M56">
        <v>0</v>
      </c>
      <c r="N56">
        <v>0</v>
      </c>
      <c r="O56">
        <v>0</v>
      </c>
      <c r="P56">
        <v>0</v>
      </c>
      <c r="Q56">
        <v>4961753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256134</v>
      </c>
      <c r="BK56">
        <v>0</v>
      </c>
      <c r="BL56">
        <v>100000</v>
      </c>
      <c r="BM56">
        <v>20000</v>
      </c>
      <c r="BN56">
        <v>1000</v>
      </c>
      <c r="BO56">
        <v>0</v>
      </c>
      <c r="BP56">
        <v>0</v>
      </c>
      <c r="BQ56">
        <v>101500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99235</v>
      </c>
      <c r="CN56">
        <v>49618</v>
      </c>
      <c r="CO56">
        <v>49618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14885</v>
      </c>
      <c r="CW56">
        <v>44160</v>
      </c>
      <c r="CX56">
        <v>183585</v>
      </c>
      <c r="CY56">
        <v>99235</v>
      </c>
      <c r="CZ56">
        <v>198470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 s="14">
        <v>4284648</v>
      </c>
      <c r="DI56" s="11" t="s">
        <v>706</v>
      </c>
      <c r="DJ56" s="11" t="str">
        <f t="shared" si="1"/>
        <v>JOHN RAMIREZ</v>
      </c>
      <c r="DK56" s="16" t="s">
        <v>604</v>
      </c>
      <c r="DL56" s="16" t="s">
        <v>835</v>
      </c>
      <c r="DM56" s="16">
        <v>6211111</v>
      </c>
    </row>
    <row r="57" spans="1:117" x14ac:dyDescent="0.25">
      <c r="A57" s="11" t="str">
        <f t="shared" si="0"/>
        <v>KENNETH SMITH - UNIT WILAYAH UTARA</v>
      </c>
      <c r="B57" s="12">
        <v>11241101111106</v>
      </c>
      <c r="C57" s="12">
        <v>11241101111106</v>
      </c>
      <c r="D57" s="13" t="s">
        <v>335</v>
      </c>
      <c r="E57" t="s">
        <v>122</v>
      </c>
      <c r="F57" t="s">
        <v>351</v>
      </c>
      <c r="G57" t="s">
        <v>352</v>
      </c>
      <c r="H57" t="s">
        <v>356</v>
      </c>
      <c r="I57" t="s">
        <v>394</v>
      </c>
      <c r="J57" t="s">
        <v>417</v>
      </c>
      <c r="K57">
        <v>0</v>
      </c>
      <c r="L57" t="s">
        <v>123</v>
      </c>
      <c r="M57">
        <v>0</v>
      </c>
      <c r="N57">
        <v>0</v>
      </c>
      <c r="O57">
        <v>0</v>
      </c>
      <c r="P57">
        <v>0</v>
      </c>
      <c r="Q57">
        <v>0</v>
      </c>
      <c r="R57">
        <v>3000000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 s="14">
        <v>3000000</v>
      </c>
      <c r="DI57" s="11" t="s">
        <v>640</v>
      </c>
      <c r="DJ57" s="11" t="str">
        <f t="shared" si="1"/>
        <v>KENNETH SMITH</v>
      </c>
      <c r="DK57" s="16" t="s">
        <v>604</v>
      </c>
      <c r="DL57" s="16" t="s">
        <v>847</v>
      </c>
      <c r="DM57" s="16">
        <v>6211111</v>
      </c>
    </row>
    <row r="58" spans="1:117" x14ac:dyDescent="0.25">
      <c r="A58" s="11" t="str">
        <f t="shared" si="0"/>
        <v>KEVIN CAMPBELL - UNIT WILAYAH UTARA</v>
      </c>
      <c r="B58" s="12">
        <v>11113422</v>
      </c>
      <c r="C58" s="12" t="s">
        <v>471</v>
      </c>
      <c r="D58" s="13" t="s">
        <v>336</v>
      </c>
      <c r="E58" t="s">
        <v>116</v>
      </c>
      <c r="F58" t="s">
        <v>351</v>
      </c>
      <c r="G58" t="s">
        <v>352</v>
      </c>
      <c r="H58" t="s">
        <v>355</v>
      </c>
      <c r="I58" t="s">
        <v>394</v>
      </c>
      <c r="J58" t="s">
        <v>417</v>
      </c>
      <c r="K58" t="s">
        <v>119</v>
      </c>
      <c r="L58" t="s">
        <v>120</v>
      </c>
      <c r="M58">
        <v>0</v>
      </c>
      <c r="N58">
        <v>0</v>
      </c>
      <c r="O58">
        <v>0</v>
      </c>
      <c r="P58">
        <v>0</v>
      </c>
      <c r="Q58">
        <v>6188000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63248</v>
      </c>
      <c r="BJ58">
        <v>0</v>
      </c>
      <c r="BK58">
        <v>0</v>
      </c>
      <c r="BL58">
        <v>0</v>
      </c>
      <c r="BM58">
        <v>20000</v>
      </c>
      <c r="BN58">
        <v>1000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63248</v>
      </c>
      <c r="CM58">
        <v>123760</v>
      </c>
      <c r="CN58">
        <v>61880</v>
      </c>
      <c r="CO58">
        <v>61880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18564</v>
      </c>
      <c r="CW58">
        <v>55073</v>
      </c>
      <c r="CX58">
        <v>228956</v>
      </c>
      <c r="CY58">
        <v>123760</v>
      </c>
      <c r="CZ58">
        <v>247520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 s="14">
        <v>5919480</v>
      </c>
      <c r="DI58" s="11" t="s">
        <v>711</v>
      </c>
      <c r="DJ58" s="11" t="str">
        <f t="shared" si="1"/>
        <v>KEVIN CAMPBELL</v>
      </c>
      <c r="DK58" s="16" t="s">
        <v>604</v>
      </c>
      <c r="DL58" s="16" t="s">
        <v>865</v>
      </c>
      <c r="DM58" s="16">
        <v>6211111</v>
      </c>
    </row>
    <row r="59" spans="1:117" x14ac:dyDescent="0.25">
      <c r="A59" s="11" t="str">
        <f t="shared" si="0"/>
        <v>MICHELLE DAVIS - UNIT WILAYAH UTARA</v>
      </c>
      <c r="B59" s="12">
        <v>11103469</v>
      </c>
      <c r="C59" s="12" t="s">
        <v>538</v>
      </c>
      <c r="D59" s="13" t="s">
        <v>211</v>
      </c>
      <c r="E59" t="s">
        <v>116</v>
      </c>
      <c r="F59" t="s">
        <v>351</v>
      </c>
      <c r="G59" t="s">
        <v>352</v>
      </c>
      <c r="H59" t="s">
        <v>355</v>
      </c>
      <c r="I59" t="s">
        <v>394</v>
      </c>
      <c r="J59" t="s">
        <v>417</v>
      </c>
      <c r="K59" t="s">
        <v>117</v>
      </c>
      <c r="L59" t="s">
        <v>118</v>
      </c>
      <c r="M59">
        <v>1004150</v>
      </c>
      <c r="N59">
        <v>2876500</v>
      </c>
      <c r="O59">
        <v>0</v>
      </c>
      <c r="P59">
        <v>0</v>
      </c>
      <c r="Q59">
        <v>0</v>
      </c>
      <c r="R59">
        <v>0</v>
      </c>
      <c r="S59">
        <v>0</v>
      </c>
      <c r="T59">
        <v>650000</v>
      </c>
      <c r="U59">
        <v>1613000</v>
      </c>
      <c r="V59">
        <v>175000</v>
      </c>
      <c r="W59">
        <v>0</v>
      </c>
      <c r="X59">
        <v>150000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66000</v>
      </c>
      <c r="BJ59">
        <v>208186</v>
      </c>
      <c r="BK59">
        <v>0</v>
      </c>
      <c r="BL59">
        <v>100000</v>
      </c>
      <c r="BM59">
        <v>20000</v>
      </c>
      <c r="BN59">
        <v>1000</v>
      </c>
      <c r="BO59">
        <v>0</v>
      </c>
      <c r="BP59">
        <v>0</v>
      </c>
      <c r="BQ59">
        <v>171500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66000</v>
      </c>
      <c r="CM59">
        <v>109840</v>
      </c>
      <c r="CN59">
        <v>54920</v>
      </c>
      <c r="CO59">
        <v>54920</v>
      </c>
      <c r="CP59">
        <v>0</v>
      </c>
      <c r="CQ59">
        <v>0</v>
      </c>
      <c r="CR59">
        <v>0</v>
      </c>
      <c r="CS59">
        <v>0</v>
      </c>
      <c r="CT59">
        <v>192220</v>
      </c>
      <c r="CU59">
        <v>0</v>
      </c>
      <c r="CV59">
        <v>16476</v>
      </c>
      <c r="CW59">
        <v>48879</v>
      </c>
      <c r="CX59">
        <v>203204</v>
      </c>
      <c r="CY59">
        <v>109840</v>
      </c>
      <c r="CZ59">
        <v>219680</v>
      </c>
      <c r="DA59">
        <v>0</v>
      </c>
      <c r="DB59">
        <v>0</v>
      </c>
      <c r="DC59">
        <v>0</v>
      </c>
      <c r="DD59">
        <v>0</v>
      </c>
      <c r="DE59">
        <v>411900</v>
      </c>
      <c r="DF59">
        <v>0</v>
      </c>
      <c r="DG59">
        <v>0</v>
      </c>
      <c r="DH59" s="14">
        <v>5556064</v>
      </c>
      <c r="DI59" s="15" t="s">
        <v>676</v>
      </c>
      <c r="DJ59" s="11" t="str">
        <f t="shared" si="1"/>
        <v>MICHELLE DAVIS</v>
      </c>
      <c r="DK59" s="16" t="s">
        <v>604</v>
      </c>
      <c r="DL59" s="17" t="s">
        <v>857</v>
      </c>
      <c r="DM59" s="16">
        <v>6211111</v>
      </c>
    </row>
    <row r="60" spans="1:117" x14ac:dyDescent="0.25">
      <c r="A60" s="11" t="str">
        <f t="shared" si="0"/>
        <v>EDWARD SMITH - UNIT WILAYAH UTARA</v>
      </c>
      <c r="B60" s="12">
        <v>11103935</v>
      </c>
      <c r="C60" s="12" t="s">
        <v>474</v>
      </c>
      <c r="D60" s="13" t="s">
        <v>309</v>
      </c>
      <c r="E60" t="s">
        <v>116</v>
      </c>
      <c r="F60" t="s">
        <v>351</v>
      </c>
      <c r="G60" t="s">
        <v>352</v>
      </c>
      <c r="H60" t="s">
        <v>355</v>
      </c>
      <c r="I60" t="s">
        <v>386</v>
      </c>
      <c r="J60" t="s">
        <v>418</v>
      </c>
      <c r="K60" t="s">
        <v>117</v>
      </c>
      <c r="L60" t="s">
        <v>118</v>
      </c>
      <c r="M60">
        <v>942000</v>
      </c>
      <c r="N60">
        <v>2729000</v>
      </c>
      <c r="O60">
        <v>0</v>
      </c>
      <c r="P60">
        <v>0</v>
      </c>
      <c r="Q60">
        <v>0</v>
      </c>
      <c r="R60">
        <v>0</v>
      </c>
      <c r="S60">
        <v>0</v>
      </c>
      <c r="T60">
        <v>650000</v>
      </c>
      <c r="U60">
        <v>1613000</v>
      </c>
      <c r="V60">
        <v>175000</v>
      </c>
      <c r="W60">
        <v>0</v>
      </c>
      <c r="X60">
        <v>150000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63865</v>
      </c>
      <c r="BJ60">
        <v>216025</v>
      </c>
      <c r="BK60">
        <v>0</v>
      </c>
      <c r="BL60">
        <v>100000</v>
      </c>
      <c r="BM60">
        <v>20000</v>
      </c>
      <c r="BN60">
        <v>1000</v>
      </c>
      <c r="BO60">
        <v>0</v>
      </c>
      <c r="BP60">
        <v>0</v>
      </c>
      <c r="BQ60">
        <v>101500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63865</v>
      </c>
      <c r="CM60">
        <v>107060</v>
      </c>
      <c r="CN60">
        <v>53530</v>
      </c>
      <c r="CO60">
        <v>53530</v>
      </c>
      <c r="CP60">
        <v>0</v>
      </c>
      <c r="CQ60">
        <v>0</v>
      </c>
      <c r="CR60">
        <v>0</v>
      </c>
      <c r="CS60">
        <v>0</v>
      </c>
      <c r="CT60">
        <v>187355</v>
      </c>
      <c r="CU60">
        <v>0</v>
      </c>
      <c r="CV60">
        <v>16059</v>
      </c>
      <c r="CW60">
        <v>47642</v>
      </c>
      <c r="CX60">
        <v>198061</v>
      </c>
      <c r="CY60">
        <v>107060</v>
      </c>
      <c r="CZ60">
        <v>214120</v>
      </c>
      <c r="DA60">
        <v>0</v>
      </c>
      <c r="DB60">
        <v>0</v>
      </c>
      <c r="DC60">
        <v>0</v>
      </c>
      <c r="DD60">
        <v>0</v>
      </c>
      <c r="DE60">
        <v>401475</v>
      </c>
      <c r="DF60">
        <v>0</v>
      </c>
      <c r="DG60">
        <v>0</v>
      </c>
      <c r="DH60" s="14">
        <v>5419000</v>
      </c>
      <c r="DI60" s="15" t="s">
        <v>689</v>
      </c>
      <c r="DJ60" s="11" t="str">
        <f t="shared" si="1"/>
        <v>EDWARD SMITH</v>
      </c>
      <c r="DK60" s="16" t="s">
        <v>604</v>
      </c>
      <c r="DL60" s="17" t="s">
        <v>830</v>
      </c>
      <c r="DM60" s="16">
        <v>6211111</v>
      </c>
    </row>
    <row r="61" spans="1:117" x14ac:dyDescent="0.25">
      <c r="A61" s="11" t="str">
        <f t="shared" si="0"/>
        <v>GEORGE BAKER - UNIT WILAYAH UTARA</v>
      </c>
      <c r="B61" s="12">
        <v>11112923</v>
      </c>
      <c r="C61" s="12" t="s">
        <v>473</v>
      </c>
      <c r="D61" s="13" t="s">
        <v>260</v>
      </c>
      <c r="E61" t="s">
        <v>116</v>
      </c>
      <c r="F61" t="s">
        <v>351</v>
      </c>
      <c r="G61" t="s">
        <v>352</v>
      </c>
      <c r="H61" t="s">
        <v>355</v>
      </c>
      <c r="I61" t="s">
        <v>386</v>
      </c>
      <c r="J61" t="s">
        <v>418</v>
      </c>
      <c r="K61" t="s">
        <v>119</v>
      </c>
      <c r="L61" t="s">
        <v>120</v>
      </c>
      <c r="M61">
        <v>0</v>
      </c>
      <c r="N61">
        <v>0</v>
      </c>
      <c r="O61">
        <v>0</v>
      </c>
      <c r="P61">
        <v>0</v>
      </c>
      <c r="Q61">
        <v>6000000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45879</v>
      </c>
      <c r="BJ61">
        <v>0</v>
      </c>
      <c r="BK61">
        <v>0</v>
      </c>
      <c r="BL61">
        <v>0</v>
      </c>
      <c r="BM61">
        <v>20000</v>
      </c>
      <c r="BN61">
        <v>1000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45879</v>
      </c>
      <c r="CM61">
        <v>120000</v>
      </c>
      <c r="CN61">
        <v>60000</v>
      </c>
      <c r="CO61">
        <v>60000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18000</v>
      </c>
      <c r="CW61">
        <v>53400</v>
      </c>
      <c r="CX61">
        <v>222000</v>
      </c>
      <c r="CY61">
        <v>120000</v>
      </c>
      <c r="CZ61">
        <v>240000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 s="14">
        <v>5739000</v>
      </c>
      <c r="DI61" s="15" t="s">
        <v>727</v>
      </c>
      <c r="DJ61" s="11" t="str">
        <f t="shared" si="1"/>
        <v>GEORGE BAKER</v>
      </c>
      <c r="DK61" s="16" t="s">
        <v>604</v>
      </c>
      <c r="DL61" s="17" t="s">
        <v>851</v>
      </c>
      <c r="DM61" s="16">
        <v>6211111</v>
      </c>
    </row>
    <row r="62" spans="1:117" x14ac:dyDescent="0.25">
      <c r="A62" s="11" t="str">
        <f t="shared" si="0"/>
        <v>NANCY ANDERSON - UNIT WILAYAH UTARA</v>
      </c>
      <c r="B62" s="12">
        <v>11116706</v>
      </c>
      <c r="C62" s="12" t="s">
        <v>121</v>
      </c>
      <c r="D62" s="13" t="s">
        <v>203</v>
      </c>
      <c r="E62" t="s">
        <v>116</v>
      </c>
      <c r="F62" t="s">
        <v>351</v>
      </c>
      <c r="G62" t="s">
        <v>352</v>
      </c>
      <c r="H62" t="s">
        <v>355</v>
      </c>
      <c r="I62" t="s">
        <v>386</v>
      </c>
      <c r="J62" t="s">
        <v>418</v>
      </c>
      <c r="K62" t="s">
        <v>119</v>
      </c>
      <c r="L62" t="s">
        <v>120</v>
      </c>
      <c r="M62">
        <v>0</v>
      </c>
      <c r="N62">
        <v>0</v>
      </c>
      <c r="O62">
        <v>0</v>
      </c>
      <c r="P62">
        <v>0</v>
      </c>
      <c r="Q62">
        <v>4961753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20000</v>
      </c>
      <c r="BN62">
        <v>1000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99235</v>
      </c>
      <c r="CN62">
        <v>49618</v>
      </c>
      <c r="CO62">
        <v>49618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14885</v>
      </c>
      <c r="CW62">
        <v>44160</v>
      </c>
      <c r="CX62">
        <v>183585</v>
      </c>
      <c r="CY62">
        <v>99235</v>
      </c>
      <c r="CZ62">
        <v>198470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 s="14">
        <v>4742282</v>
      </c>
      <c r="DI62" s="11" t="s">
        <v>656</v>
      </c>
      <c r="DJ62" s="11" t="str">
        <f t="shared" si="1"/>
        <v>NANCY ANDERSON</v>
      </c>
      <c r="DK62" s="16" t="s">
        <v>604</v>
      </c>
      <c r="DL62" s="16" t="s">
        <v>842</v>
      </c>
      <c r="DM62" s="16">
        <v>6211111</v>
      </c>
    </row>
    <row r="63" spans="1:117" x14ac:dyDescent="0.25">
      <c r="A63" s="11" t="str">
        <f t="shared" si="0"/>
        <v>ROBERT ANDERSON - UNIT WILAYAH UTARA</v>
      </c>
      <c r="B63" s="12">
        <v>11113619</v>
      </c>
      <c r="C63" s="12" t="s">
        <v>472</v>
      </c>
      <c r="D63" s="13" t="s">
        <v>184</v>
      </c>
      <c r="E63" t="s">
        <v>116</v>
      </c>
      <c r="F63" t="s">
        <v>351</v>
      </c>
      <c r="G63" t="s">
        <v>352</v>
      </c>
      <c r="H63" t="s">
        <v>355</v>
      </c>
      <c r="I63" t="s">
        <v>386</v>
      </c>
      <c r="J63" t="s">
        <v>418</v>
      </c>
      <c r="K63" t="s">
        <v>119</v>
      </c>
      <c r="L63" t="s">
        <v>120</v>
      </c>
      <c r="M63">
        <v>0</v>
      </c>
      <c r="N63">
        <v>0</v>
      </c>
      <c r="O63">
        <v>0</v>
      </c>
      <c r="P63">
        <v>0</v>
      </c>
      <c r="Q63">
        <v>5000000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20000</v>
      </c>
      <c r="BN63">
        <v>1000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100000</v>
      </c>
      <c r="CN63">
        <v>50000</v>
      </c>
      <c r="CO63">
        <v>50000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15000</v>
      </c>
      <c r="CW63">
        <v>44500</v>
      </c>
      <c r="CX63">
        <v>185000</v>
      </c>
      <c r="CY63">
        <v>100000</v>
      </c>
      <c r="CZ63">
        <v>200000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 s="14">
        <v>4779000</v>
      </c>
      <c r="DI63" s="11" t="s">
        <v>692</v>
      </c>
      <c r="DJ63" s="11" t="str">
        <f t="shared" si="1"/>
        <v>ROBERT ANDERSON</v>
      </c>
      <c r="DK63" s="16" t="s">
        <v>604</v>
      </c>
      <c r="DL63" s="16" t="s">
        <v>823</v>
      </c>
      <c r="DM63" s="16">
        <v>6211111</v>
      </c>
    </row>
    <row r="64" spans="1:117" x14ac:dyDescent="0.25">
      <c r="A64" s="11" t="str">
        <f t="shared" si="0"/>
        <v>DONNA TAYLOR - UNIT WILAYAH UTARA</v>
      </c>
      <c r="B64" s="12">
        <v>11113850</v>
      </c>
      <c r="C64" s="12" t="s">
        <v>476</v>
      </c>
      <c r="D64" s="13" t="s">
        <v>191</v>
      </c>
      <c r="E64" t="s">
        <v>116</v>
      </c>
      <c r="F64" t="s">
        <v>351</v>
      </c>
      <c r="G64" t="s">
        <v>352</v>
      </c>
      <c r="H64" t="s">
        <v>355</v>
      </c>
      <c r="I64" t="s">
        <v>375</v>
      </c>
      <c r="J64" t="s">
        <v>419</v>
      </c>
      <c r="K64" t="s">
        <v>119</v>
      </c>
      <c r="L64" t="s">
        <v>120</v>
      </c>
      <c r="M64">
        <v>0</v>
      </c>
      <c r="N64">
        <v>0</v>
      </c>
      <c r="O64">
        <v>0</v>
      </c>
      <c r="P64">
        <v>0</v>
      </c>
      <c r="Q64">
        <v>4961753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20000</v>
      </c>
      <c r="BN64">
        <v>1000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99235</v>
      </c>
      <c r="CN64">
        <v>49618</v>
      </c>
      <c r="CO64">
        <v>49618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14885</v>
      </c>
      <c r="CW64">
        <v>44160</v>
      </c>
      <c r="CX64">
        <v>183585</v>
      </c>
      <c r="CY64">
        <v>99235</v>
      </c>
      <c r="CZ64">
        <v>198470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 s="14">
        <v>4742282</v>
      </c>
      <c r="DI64" s="11" t="s">
        <v>751</v>
      </c>
      <c r="DJ64" s="11" t="str">
        <f t="shared" si="1"/>
        <v>DONNA TAYLOR</v>
      </c>
      <c r="DK64" s="16" t="s">
        <v>604</v>
      </c>
      <c r="DL64" s="16" t="s">
        <v>867</v>
      </c>
      <c r="DM64" s="16">
        <v>6211111</v>
      </c>
    </row>
    <row r="65" spans="1:117" x14ac:dyDescent="0.25">
      <c r="A65" s="11" t="str">
        <f t="shared" si="0"/>
        <v>JAMES MILLER - UNIT WILAYAH UTARA</v>
      </c>
      <c r="B65" s="12">
        <v>314811240008</v>
      </c>
      <c r="C65" s="12">
        <v>314811240008</v>
      </c>
      <c r="D65" s="13" t="s">
        <v>171</v>
      </c>
      <c r="E65" t="s">
        <v>122</v>
      </c>
      <c r="F65" t="s">
        <v>351</v>
      </c>
      <c r="G65" t="s">
        <v>352</v>
      </c>
      <c r="H65" t="s">
        <v>356</v>
      </c>
      <c r="I65" t="s">
        <v>375</v>
      </c>
      <c r="J65" t="s">
        <v>419</v>
      </c>
      <c r="K65">
        <v>0</v>
      </c>
      <c r="L65" t="s">
        <v>123</v>
      </c>
      <c r="M65">
        <v>0</v>
      </c>
      <c r="N65">
        <v>0</v>
      </c>
      <c r="O65">
        <v>0</v>
      </c>
      <c r="P65">
        <v>0</v>
      </c>
      <c r="Q65">
        <v>0</v>
      </c>
      <c r="R65">
        <v>3000000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60000</v>
      </c>
      <c r="CN65">
        <v>30000</v>
      </c>
      <c r="CO65">
        <v>30000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 s="14">
        <v>2880000</v>
      </c>
      <c r="DI65" s="11" t="s">
        <v>636</v>
      </c>
      <c r="DJ65" s="11" t="str">
        <f t="shared" si="1"/>
        <v>JAMES MILLER</v>
      </c>
      <c r="DK65" s="16" t="s">
        <v>604</v>
      </c>
      <c r="DL65" s="16" t="s">
        <v>837</v>
      </c>
      <c r="DM65" s="16">
        <v>6211111</v>
      </c>
    </row>
    <row r="66" spans="1:117" x14ac:dyDescent="0.25">
      <c r="A66" s="11" t="str">
        <f t="shared" si="0"/>
        <v>MARK SMITH - UNIT WILAYAH UTARA</v>
      </c>
      <c r="B66" s="12">
        <v>11106892</v>
      </c>
      <c r="C66" s="12" t="s">
        <v>475</v>
      </c>
      <c r="D66" s="13" t="s">
        <v>162</v>
      </c>
      <c r="E66" t="s">
        <v>116</v>
      </c>
      <c r="F66" t="s">
        <v>351</v>
      </c>
      <c r="G66" t="s">
        <v>352</v>
      </c>
      <c r="H66" t="s">
        <v>355</v>
      </c>
      <c r="I66" t="s">
        <v>375</v>
      </c>
      <c r="J66" t="s">
        <v>419</v>
      </c>
      <c r="K66" t="s">
        <v>119</v>
      </c>
      <c r="L66" t="s">
        <v>120</v>
      </c>
      <c r="M66">
        <v>0</v>
      </c>
      <c r="N66">
        <v>0</v>
      </c>
      <c r="O66">
        <v>0</v>
      </c>
      <c r="P66">
        <v>0</v>
      </c>
      <c r="Q66">
        <v>6384000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65252</v>
      </c>
      <c r="BJ66">
        <v>887488</v>
      </c>
      <c r="BK66">
        <v>0</v>
      </c>
      <c r="BL66">
        <v>0</v>
      </c>
      <c r="BM66">
        <v>20000</v>
      </c>
      <c r="BN66">
        <v>1000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65252</v>
      </c>
      <c r="CM66">
        <v>127680</v>
      </c>
      <c r="CN66">
        <v>63840</v>
      </c>
      <c r="CO66">
        <v>63840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19152</v>
      </c>
      <c r="CW66">
        <v>56818</v>
      </c>
      <c r="CX66">
        <v>236208</v>
      </c>
      <c r="CY66">
        <v>127680</v>
      </c>
      <c r="CZ66">
        <v>255360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 s="14">
        <v>5220152</v>
      </c>
      <c r="DI66" s="15" t="s">
        <v>667</v>
      </c>
      <c r="DJ66" s="11" t="str">
        <f t="shared" si="1"/>
        <v>MARK SMITH</v>
      </c>
      <c r="DK66" s="16" t="s">
        <v>604</v>
      </c>
      <c r="DL66" s="17" t="s">
        <v>839</v>
      </c>
      <c r="DM66" s="16">
        <v>6211111</v>
      </c>
    </row>
    <row r="67" spans="1:117" x14ac:dyDescent="0.25">
      <c r="A67" s="11" t="str">
        <f t="shared" si="0"/>
        <v>SANDRA CARTER - UNIT WILAYAH UTARA</v>
      </c>
      <c r="B67" s="12">
        <v>11103424</v>
      </c>
      <c r="C67" s="12" t="s">
        <v>539</v>
      </c>
      <c r="D67" s="13" t="s">
        <v>302</v>
      </c>
      <c r="E67" t="s">
        <v>116</v>
      </c>
      <c r="F67" t="s">
        <v>351</v>
      </c>
      <c r="G67" t="s">
        <v>352</v>
      </c>
      <c r="H67" t="s">
        <v>355</v>
      </c>
      <c r="I67" t="s">
        <v>375</v>
      </c>
      <c r="J67" t="s">
        <v>419</v>
      </c>
      <c r="K67" t="s">
        <v>117</v>
      </c>
      <c r="L67" t="s">
        <v>118</v>
      </c>
      <c r="M67">
        <v>1004150</v>
      </c>
      <c r="N67">
        <v>2876500</v>
      </c>
      <c r="O67">
        <v>0</v>
      </c>
      <c r="P67">
        <v>0</v>
      </c>
      <c r="Q67">
        <v>0</v>
      </c>
      <c r="R67">
        <v>0</v>
      </c>
      <c r="S67">
        <v>0</v>
      </c>
      <c r="T67">
        <v>650000</v>
      </c>
      <c r="U67">
        <v>1613000</v>
      </c>
      <c r="V67">
        <v>175000</v>
      </c>
      <c r="W67">
        <v>0</v>
      </c>
      <c r="X67">
        <v>150000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66000</v>
      </c>
      <c r="BJ67">
        <v>0</v>
      </c>
      <c r="BK67">
        <v>0</v>
      </c>
      <c r="BL67">
        <v>100000</v>
      </c>
      <c r="BM67">
        <v>20000</v>
      </c>
      <c r="BN67">
        <v>1000</v>
      </c>
      <c r="BO67">
        <v>0</v>
      </c>
      <c r="BP67">
        <v>0</v>
      </c>
      <c r="BQ67">
        <v>101500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66000</v>
      </c>
      <c r="CM67">
        <v>109840</v>
      </c>
      <c r="CN67">
        <v>54920</v>
      </c>
      <c r="CO67">
        <v>54920</v>
      </c>
      <c r="CP67">
        <v>0</v>
      </c>
      <c r="CQ67">
        <v>0</v>
      </c>
      <c r="CR67">
        <v>0</v>
      </c>
      <c r="CS67">
        <v>0</v>
      </c>
      <c r="CT67">
        <v>192220</v>
      </c>
      <c r="CU67">
        <v>0</v>
      </c>
      <c r="CV67">
        <v>16476</v>
      </c>
      <c r="CW67">
        <v>48879</v>
      </c>
      <c r="CX67">
        <v>203204</v>
      </c>
      <c r="CY67">
        <v>109840</v>
      </c>
      <c r="CZ67">
        <v>219680</v>
      </c>
      <c r="DA67">
        <v>0</v>
      </c>
      <c r="DB67">
        <v>0</v>
      </c>
      <c r="DC67">
        <v>0</v>
      </c>
      <c r="DD67">
        <v>0</v>
      </c>
      <c r="DE67">
        <v>411900</v>
      </c>
      <c r="DF67">
        <v>0</v>
      </c>
      <c r="DG67">
        <v>0</v>
      </c>
      <c r="DH67" s="14">
        <v>5834250</v>
      </c>
      <c r="DI67" s="15" t="s">
        <v>674</v>
      </c>
      <c r="DJ67" s="11" t="str">
        <f t="shared" si="1"/>
        <v>SANDRA CARTER</v>
      </c>
      <c r="DK67" s="16" t="s">
        <v>604</v>
      </c>
      <c r="DL67" s="17" t="s">
        <v>854</v>
      </c>
      <c r="DM67" s="16">
        <v>6211111</v>
      </c>
    </row>
    <row r="68" spans="1:117" x14ac:dyDescent="0.25">
      <c r="A68" s="11" t="str">
        <f t="shared" si="0"/>
        <v>DAVID WILLIAMS - UNIT WILAYAH UTARA</v>
      </c>
      <c r="B68" s="12">
        <v>11101227</v>
      </c>
      <c r="C68" s="12" t="s">
        <v>562</v>
      </c>
      <c r="D68" s="13" t="s">
        <v>269</v>
      </c>
      <c r="E68" t="s">
        <v>116</v>
      </c>
      <c r="F68" t="s">
        <v>351</v>
      </c>
      <c r="G68" t="s">
        <v>352</v>
      </c>
      <c r="H68" t="s">
        <v>355</v>
      </c>
      <c r="I68" t="s">
        <v>385</v>
      </c>
      <c r="J68" t="s">
        <v>402</v>
      </c>
      <c r="K68" t="s">
        <v>117</v>
      </c>
      <c r="L68" t="s">
        <v>118</v>
      </c>
      <c r="M68">
        <v>1950300</v>
      </c>
      <c r="N68">
        <v>6153050</v>
      </c>
      <c r="O68">
        <v>0</v>
      </c>
      <c r="P68">
        <v>0</v>
      </c>
      <c r="Q68">
        <v>0</v>
      </c>
      <c r="R68">
        <v>0</v>
      </c>
      <c r="S68">
        <v>0</v>
      </c>
      <c r="T68">
        <v>650000</v>
      </c>
      <c r="U68">
        <v>1613000</v>
      </c>
      <c r="V68">
        <v>175000</v>
      </c>
      <c r="W68">
        <v>0</v>
      </c>
      <c r="X68">
        <v>150000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391495</v>
      </c>
      <c r="BJ68">
        <v>10000</v>
      </c>
      <c r="BK68">
        <v>0</v>
      </c>
      <c r="BL68">
        <v>100000</v>
      </c>
      <c r="BM68">
        <v>20000</v>
      </c>
      <c r="BN68">
        <v>1000</v>
      </c>
      <c r="BO68">
        <v>0</v>
      </c>
      <c r="BP68">
        <v>0</v>
      </c>
      <c r="BQ68">
        <v>132700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391495</v>
      </c>
      <c r="CM68">
        <v>172680</v>
      </c>
      <c r="CN68">
        <v>86340</v>
      </c>
      <c r="CO68">
        <v>86340</v>
      </c>
      <c r="CP68">
        <v>0</v>
      </c>
      <c r="CQ68">
        <v>28840</v>
      </c>
      <c r="CR68">
        <v>0</v>
      </c>
      <c r="CS68">
        <v>93730</v>
      </c>
      <c r="CT68">
        <v>0</v>
      </c>
      <c r="CU68">
        <v>0</v>
      </c>
      <c r="CV68">
        <v>25902</v>
      </c>
      <c r="CW68">
        <v>76843</v>
      </c>
      <c r="CX68">
        <v>319458</v>
      </c>
      <c r="CY68">
        <v>172680</v>
      </c>
      <c r="CZ68">
        <v>345360</v>
      </c>
      <c r="DA68">
        <v>0</v>
      </c>
      <c r="DB68">
        <v>57680</v>
      </c>
      <c r="DC68">
        <v>98056</v>
      </c>
      <c r="DD68">
        <v>0</v>
      </c>
      <c r="DE68">
        <v>0</v>
      </c>
      <c r="DF68">
        <v>0</v>
      </c>
      <c r="DG68">
        <v>0</v>
      </c>
      <c r="DH68" s="14">
        <v>9959720</v>
      </c>
      <c r="DI68" s="15" t="s">
        <v>782</v>
      </c>
      <c r="DJ68" s="11" t="str">
        <f t="shared" si="1"/>
        <v>DAVID WILLIAMS</v>
      </c>
      <c r="DK68" s="16" t="s">
        <v>604</v>
      </c>
      <c r="DL68" s="17" t="s">
        <v>840</v>
      </c>
      <c r="DM68" s="16">
        <v>6211111</v>
      </c>
    </row>
    <row r="69" spans="1:117" x14ac:dyDescent="0.25">
      <c r="A69" s="11" t="str">
        <f t="shared" si="0"/>
        <v>ELIZABETH JACKSON - UNIT WILAYAH UTARA</v>
      </c>
      <c r="B69" s="12">
        <v>11113617</v>
      </c>
      <c r="C69" s="12" t="s">
        <v>443</v>
      </c>
      <c r="D69" s="13" t="s">
        <v>252</v>
      </c>
      <c r="E69" t="s">
        <v>116</v>
      </c>
      <c r="F69" t="s">
        <v>351</v>
      </c>
      <c r="G69" t="s">
        <v>352</v>
      </c>
      <c r="H69" t="s">
        <v>355</v>
      </c>
      <c r="I69" t="s">
        <v>385</v>
      </c>
      <c r="J69" t="s">
        <v>402</v>
      </c>
      <c r="K69" t="s">
        <v>119</v>
      </c>
      <c r="L69" t="s">
        <v>120</v>
      </c>
      <c r="M69">
        <v>0</v>
      </c>
      <c r="N69">
        <v>0</v>
      </c>
      <c r="O69">
        <v>0</v>
      </c>
      <c r="P69">
        <v>0</v>
      </c>
      <c r="Q69">
        <v>6000000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45879</v>
      </c>
      <c r="BJ69">
        <v>0</v>
      </c>
      <c r="BK69">
        <v>0</v>
      </c>
      <c r="BL69">
        <v>0</v>
      </c>
      <c r="BM69">
        <v>20000</v>
      </c>
      <c r="BN69">
        <v>1000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45879</v>
      </c>
      <c r="CM69">
        <v>120000</v>
      </c>
      <c r="CN69">
        <v>60000</v>
      </c>
      <c r="CO69">
        <v>60000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18000</v>
      </c>
      <c r="CW69">
        <v>53400</v>
      </c>
      <c r="CX69">
        <v>222000</v>
      </c>
      <c r="CY69">
        <v>120000</v>
      </c>
      <c r="CZ69">
        <v>240000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 s="14">
        <v>5739000</v>
      </c>
      <c r="DI69" s="11" t="s">
        <v>748</v>
      </c>
      <c r="DJ69" s="11" t="str">
        <f t="shared" si="1"/>
        <v>ELIZABETH JACKSON</v>
      </c>
      <c r="DK69" s="16" t="s">
        <v>604</v>
      </c>
      <c r="DL69" s="16" t="s">
        <v>866</v>
      </c>
      <c r="DM69" s="16">
        <v>6211111</v>
      </c>
    </row>
    <row r="70" spans="1:117" x14ac:dyDescent="0.25">
      <c r="A70" s="11" t="str">
        <f t="shared" ref="A70:A133" si="2">D70&amp;" "&amp;"-"&amp;" "&amp;F70</f>
        <v>JENNIFER RIVERA - UNIT WILAYAH UTARA</v>
      </c>
      <c r="B70" s="12">
        <v>11241101111103</v>
      </c>
      <c r="C70" s="12">
        <v>11241101111103</v>
      </c>
      <c r="D70" s="13" t="s">
        <v>183</v>
      </c>
      <c r="E70" t="s">
        <v>122</v>
      </c>
      <c r="F70" t="s">
        <v>351</v>
      </c>
      <c r="G70" t="s">
        <v>352</v>
      </c>
      <c r="H70" t="s">
        <v>356</v>
      </c>
      <c r="I70" t="s">
        <v>385</v>
      </c>
      <c r="J70" t="s">
        <v>402</v>
      </c>
      <c r="K70">
        <v>0</v>
      </c>
      <c r="L70" t="s">
        <v>123</v>
      </c>
      <c r="M70">
        <v>0</v>
      </c>
      <c r="N70">
        <v>0</v>
      </c>
      <c r="O70">
        <v>0</v>
      </c>
      <c r="P70">
        <v>0</v>
      </c>
      <c r="Q70">
        <v>0</v>
      </c>
      <c r="R70">
        <v>3000000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 s="14">
        <v>3000000</v>
      </c>
      <c r="DI70" s="11" t="s">
        <v>637</v>
      </c>
      <c r="DJ70" s="11" t="str">
        <f t="shared" ref="DJ70:DJ133" si="3">D70</f>
        <v>JENNIFER RIVERA</v>
      </c>
      <c r="DK70" s="16" t="s">
        <v>604</v>
      </c>
      <c r="DL70" s="16" t="s">
        <v>844</v>
      </c>
      <c r="DM70" s="16">
        <v>6211111</v>
      </c>
    </row>
    <row r="71" spans="1:117" x14ac:dyDescent="0.25">
      <c r="A71" s="11" t="str">
        <f t="shared" si="2"/>
        <v>DAVID LEE - UNIT WILAYAH UTARA</v>
      </c>
      <c r="B71" s="12">
        <v>111123100117</v>
      </c>
      <c r="C71" s="12">
        <v>111123100117</v>
      </c>
      <c r="D71" s="13" t="s">
        <v>170</v>
      </c>
      <c r="E71" t="s">
        <v>122</v>
      </c>
      <c r="F71" t="s">
        <v>351</v>
      </c>
      <c r="G71" t="s">
        <v>352</v>
      </c>
      <c r="H71" t="s">
        <v>356</v>
      </c>
      <c r="I71" t="s">
        <v>379</v>
      </c>
      <c r="J71" t="s">
        <v>420</v>
      </c>
      <c r="K71">
        <v>0</v>
      </c>
      <c r="L71" t="s">
        <v>123</v>
      </c>
      <c r="M71">
        <v>0</v>
      </c>
      <c r="N71">
        <v>0</v>
      </c>
      <c r="O71">
        <v>0</v>
      </c>
      <c r="P71">
        <v>0</v>
      </c>
      <c r="Q71">
        <v>0</v>
      </c>
      <c r="R71">
        <v>3000000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417900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60000</v>
      </c>
      <c r="CN71">
        <v>30000</v>
      </c>
      <c r="CO71">
        <v>30000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 s="14">
        <v>3297900</v>
      </c>
      <c r="DI71" s="11" t="s">
        <v>630</v>
      </c>
      <c r="DJ71" s="11" t="str">
        <f t="shared" si="3"/>
        <v>DAVID LEE</v>
      </c>
      <c r="DK71" s="16" t="s">
        <v>604</v>
      </c>
      <c r="DL71" s="16" t="s">
        <v>840</v>
      </c>
      <c r="DM71" s="16">
        <v>6211111</v>
      </c>
    </row>
    <row r="72" spans="1:117" x14ac:dyDescent="0.25">
      <c r="A72" s="11" t="str">
        <f t="shared" si="2"/>
        <v>EDWARD ANDERSON - UNIT WILAYAH UTARA</v>
      </c>
      <c r="B72" s="12">
        <v>11101510</v>
      </c>
      <c r="C72" s="12" t="s">
        <v>576</v>
      </c>
      <c r="D72" s="13" t="s">
        <v>326</v>
      </c>
      <c r="E72" t="s">
        <v>116</v>
      </c>
      <c r="F72" t="s">
        <v>351</v>
      </c>
      <c r="G72" t="s">
        <v>352</v>
      </c>
      <c r="H72" t="s">
        <v>355</v>
      </c>
      <c r="I72" t="s">
        <v>379</v>
      </c>
      <c r="J72" t="s">
        <v>420</v>
      </c>
      <c r="K72" t="s">
        <v>117</v>
      </c>
      <c r="L72" t="s">
        <v>118</v>
      </c>
      <c r="M72">
        <v>1405750</v>
      </c>
      <c r="N72">
        <v>4259000</v>
      </c>
      <c r="O72">
        <v>0</v>
      </c>
      <c r="P72">
        <v>0</v>
      </c>
      <c r="Q72">
        <v>0</v>
      </c>
      <c r="R72">
        <v>0</v>
      </c>
      <c r="S72">
        <v>0</v>
      </c>
      <c r="T72">
        <v>650000</v>
      </c>
      <c r="U72">
        <v>1613000</v>
      </c>
      <c r="V72">
        <v>175000</v>
      </c>
      <c r="W72">
        <v>0</v>
      </c>
      <c r="X72">
        <v>150000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417900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126919</v>
      </c>
      <c r="BJ72">
        <v>123763</v>
      </c>
      <c r="BK72">
        <v>0</v>
      </c>
      <c r="BL72">
        <v>100000</v>
      </c>
      <c r="BM72">
        <v>20000</v>
      </c>
      <c r="BN72">
        <v>1000</v>
      </c>
      <c r="BO72">
        <v>0</v>
      </c>
      <c r="BP72">
        <v>0</v>
      </c>
      <c r="BQ72">
        <v>618000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155386</v>
      </c>
      <c r="CM72">
        <v>137200</v>
      </c>
      <c r="CN72">
        <v>68600</v>
      </c>
      <c r="CO72">
        <v>68600</v>
      </c>
      <c r="CP72">
        <v>0</v>
      </c>
      <c r="CQ72">
        <v>21560</v>
      </c>
      <c r="CR72">
        <v>0</v>
      </c>
      <c r="CS72">
        <v>70070</v>
      </c>
      <c r="CT72">
        <v>0</v>
      </c>
      <c r="CU72">
        <v>0</v>
      </c>
      <c r="CV72">
        <v>20580</v>
      </c>
      <c r="CW72">
        <v>61054</v>
      </c>
      <c r="CX72">
        <v>253820</v>
      </c>
      <c r="CY72">
        <v>137200</v>
      </c>
      <c r="CZ72">
        <v>274400</v>
      </c>
      <c r="DA72">
        <v>0</v>
      </c>
      <c r="DB72">
        <v>43120</v>
      </c>
      <c r="DC72">
        <v>73304</v>
      </c>
      <c r="DD72">
        <v>0</v>
      </c>
      <c r="DE72">
        <v>0</v>
      </c>
      <c r="DF72">
        <v>0</v>
      </c>
      <c r="DG72">
        <v>0</v>
      </c>
      <c r="DH72" s="14">
        <v>7413390</v>
      </c>
      <c r="DI72" s="15" t="s">
        <v>796</v>
      </c>
      <c r="DJ72" s="11" t="str">
        <f t="shared" si="3"/>
        <v>EDWARD ANDERSON</v>
      </c>
      <c r="DK72" s="16" t="s">
        <v>604</v>
      </c>
      <c r="DL72" s="17" t="s">
        <v>830</v>
      </c>
      <c r="DM72" s="16">
        <v>6211111</v>
      </c>
    </row>
    <row r="73" spans="1:117" x14ac:dyDescent="0.25">
      <c r="A73" s="11" t="str">
        <f t="shared" si="2"/>
        <v>JESSICA JONES - UNIT WILAYAH UTARA</v>
      </c>
      <c r="B73" s="12">
        <v>11250113111102</v>
      </c>
      <c r="C73" s="12">
        <v>11250113111102</v>
      </c>
      <c r="D73" s="13" t="s">
        <v>200</v>
      </c>
      <c r="E73" t="s">
        <v>122</v>
      </c>
      <c r="F73" t="s">
        <v>351</v>
      </c>
      <c r="G73" t="s">
        <v>352</v>
      </c>
      <c r="H73" t="s">
        <v>356</v>
      </c>
      <c r="I73" t="s">
        <v>379</v>
      </c>
      <c r="J73" t="s">
        <v>420</v>
      </c>
      <c r="K73">
        <v>0</v>
      </c>
      <c r="L73" t="s">
        <v>123</v>
      </c>
      <c r="M73">
        <v>0</v>
      </c>
      <c r="N73">
        <v>0</v>
      </c>
      <c r="O73">
        <v>0</v>
      </c>
      <c r="P73">
        <v>0</v>
      </c>
      <c r="Q73">
        <v>0</v>
      </c>
      <c r="R73">
        <v>3000000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417900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 s="14">
        <v>3417900</v>
      </c>
      <c r="DI73" s="11" t="s">
        <v>647</v>
      </c>
      <c r="DJ73" s="11" t="str">
        <f t="shared" si="3"/>
        <v>JESSICA JONES</v>
      </c>
      <c r="DK73" s="16" t="s">
        <v>604</v>
      </c>
      <c r="DL73" s="16" t="s">
        <v>826</v>
      </c>
      <c r="DM73" s="16">
        <v>6211111</v>
      </c>
    </row>
    <row r="74" spans="1:117" x14ac:dyDescent="0.25">
      <c r="A74" s="11" t="str">
        <f t="shared" si="2"/>
        <v>KENNETH WHITE - UNIT WILAYAH UTARA</v>
      </c>
      <c r="B74" s="12">
        <v>11113881</v>
      </c>
      <c r="C74" s="12" t="s">
        <v>478</v>
      </c>
      <c r="D74" s="13" t="s">
        <v>214</v>
      </c>
      <c r="E74" t="s">
        <v>116</v>
      </c>
      <c r="F74" t="s">
        <v>351</v>
      </c>
      <c r="G74" t="s">
        <v>352</v>
      </c>
      <c r="H74" t="s">
        <v>355</v>
      </c>
      <c r="I74" t="s">
        <v>379</v>
      </c>
      <c r="J74" t="s">
        <v>420</v>
      </c>
      <c r="K74" t="s">
        <v>119</v>
      </c>
      <c r="L74" t="s">
        <v>120</v>
      </c>
      <c r="M74">
        <v>0</v>
      </c>
      <c r="N74">
        <v>0</v>
      </c>
      <c r="O74">
        <v>0</v>
      </c>
      <c r="P74">
        <v>0</v>
      </c>
      <c r="Q74">
        <v>6000000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667900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45879</v>
      </c>
      <c r="BJ74">
        <v>0</v>
      </c>
      <c r="BK74">
        <v>0</v>
      </c>
      <c r="BL74">
        <v>0</v>
      </c>
      <c r="BM74">
        <v>20000</v>
      </c>
      <c r="BN74">
        <v>1000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84814</v>
      </c>
      <c r="CM74">
        <v>120000</v>
      </c>
      <c r="CN74">
        <v>60000</v>
      </c>
      <c r="CO74">
        <v>60000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18000</v>
      </c>
      <c r="CW74">
        <v>53400</v>
      </c>
      <c r="CX74">
        <v>222000</v>
      </c>
      <c r="CY74">
        <v>120000</v>
      </c>
      <c r="CZ74">
        <v>240000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 s="14">
        <v>6367965</v>
      </c>
      <c r="DI74" s="11" t="s">
        <v>690</v>
      </c>
      <c r="DJ74" s="11" t="str">
        <f t="shared" si="3"/>
        <v>KENNETH WHITE</v>
      </c>
      <c r="DK74" s="16" t="s">
        <v>604</v>
      </c>
      <c r="DL74" s="16" t="s">
        <v>847</v>
      </c>
      <c r="DM74" s="16">
        <v>6211111</v>
      </c>
    </row>
    <row r="75" spans="1:117" x14ac:dyDescent="0.25">
      <c r="A75" s="11" t="str">
        <f t="shared" si="2"/>
        <v>SUSAN BROWN - UNIT WILAYAH UTARA</v>
      </c>
      <c r="B75" s="12">
        <v>11113859</v>
      </c>
      <c r="C75" s="12" t="s">
        <v>477</v>
      </c>
      <c r="D75" s="13" t="s">
        <v>288</v>
      </c>
      <c r="E75" t="s">
        <v>116</v>
      </c>
      <c r="F75" t="s">
        <v>351</v>
      </c>
      <c r="G75" t="s">
        <v>352</v>
      </c>
      <c r="H75" t="s">
        <v>355</v>
      </c>
      <c r="I75" t="s">
        <v>379</v>
      </c>
      <c r="J75" t="s">
        <v>420</v>
      </c>
      <c r="K75" t="s">
        <v>119</v>
      </c>
      <c r="L75" t="s">
        <v>120</v>
      </c>
      <c r="M75">
        <v>0</v>
      </c>
      <c r="N75">
        <v>0</v>
      </c>
      <c r="O75">
        <v>0</v>
      </c>
      <c r="P75">
        <v>0</v>
      </c>
      <c r="Q75">
        <v>5000000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557200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20000</v>
      </c>
      <c r="BN75">
        <v>1000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14041</v>
      </c>
      <c r="CM75">
        <v>100000</v>
      </c>
      <c r="CN75">
        <v>50000</v>
      </c>
      <c r="CO75">
        <v>50000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15000</v>
      </c>
      <c r="CW75">
        <v>44500</v>
      </c>
      <c r="CX75">
        <v>185000</v>
      </c>
      <c r="CY75">
        <v>100000</v>
      </c>
      <c r="CZ75">
        <v>200000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 s="14">
        <v>5322159</v>
      </c>
      <c r="DI75" s="11" t="s">
        <v>754</v>
      </c>
      <c r="DJ75" s="11" t="str">
        <f t="shared" si="3"/>
        <v>SUSAN BROWN</v>
      </c>
      <c r="DK75" s="16" t="s">
        <v>604</v>
      </c>
      <c r="DL75" s="16" t="s">
        <v>833</v>
      </c>
      <c r="DM75" s="16">
        <v>6211111</v>
      </c>
    </row>
    <row r="76" spans="1:117" x14ac:dyDescent="0.25">
      <c r="A76" s="11" t="str">
        <f t="shared" si="2"/>
        <v>BRIAN ANDERSON - UNIT WILAYAH UTARA</v>
      </c>
      <c r="B76" s="12">
        <v>11100797</v>
      </c>
      <c r="C76" s="12">
        <v>11000797</v>
      </c>
      <c r="D76" s="13" t="s">
        <v>340</v>
      </c>
      <c r="E76" t="s">
        <v>124</v>
      </c>
      <c r="F76" t="s">
        <v>351</v>
      </c>
      <c r="G76" t="s">
        <v>352</v>
      </c>
      <c r="I76" t="s">
        <v>364</v>
      </c>
      <c r="J76" t="s">
        <v>421</v>
      </c>
      <c r="K76" t="s">
        <v>118</v>
      </c>
      <c r="L76" t="s">
        <v>125</v>
      </c>
      <c r="M76">
        <v>517500</v>
      </c>
      <c r="N76">
        <v>840000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 s="14">
        <v>1357500</v>
      </c>
      <c r="DI76" s="11" t="s">
        <v>606</v>
      </c>
      <c r="DJ76" s="11" t="str">
        <f t="shared" si="3"/>
        <v>BRIAN ANDERSON</v>
      </c>
      <c r="DK76" s="16" t="s">
        <v>604</v>
      </c>
      <c r="DL76" s="16" t="s">
        <v>821</v>
      </c>
      <c r="DM76" s="16">
        <v>6211111</v>
      </c>
    </row>
    <row r="77" spans="1:117" x14ac:dyDescent="0.25">
      <c r="A77" s="11" t="str">
        <f t="shared" si="2"/>
        <v>KAREN THOMPSON - UNIT WILAYAH UTARA</v>
      </c>
      <c r="B77" s="12">
        <v>11111814</v>
      </c>
      <c r="C77" s="12" t="s">
        <v>481</v>
      </c>
      <c r="D77" s="13" t="s">
        <v>218</v>
      </c>
      <c r="E77" t="s">
        <v>116</v>
      </c>
      <c r="F77" t="s">
        <v>351</v>
      </c>
      <c r="G77" t="s">
        <v>352</v>
      </c>
      <c r="H77" t="s">
        <v>359</v>
      </c>
      <c r="I77" t="s">
        <v>364</v>
      </c>
      <c r="J77" t="s">
        <v>421</v>
      </c>
      <c r="K77" t="s">
        <v>119</v>
      </c>
      <c r="L77" t="s">
        <v>120</v>
      </c>
      <c r="M77">
        <v>0</v>
      </c>
      <c r="N77">
        <v>0</v>
      </c>
      <c r="O77">
        <v>0</v>
      </c>
      <c r="P77">
        <v>0</v>
      </c>
      <c r="Q77">
        <v>6384000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65252</v>
      </c>
      <c r="BJ77">
        <v>10000</v>
      </c>
      <c r="BK77">
        <v>0</v>
      </c>
      <c r="BL77">
        <v>100000</v>
      </c>
      <c r="BM77">
        <v>20000</v>
      </c>
      <c r="BN77">
        <v>1000</v>
      </c>
      <c r="BO77">
        <v>0</v>
      </c>
      <c r="BP77">
        <v>0</v>
      </c>
      <c r="BQ77">
        <v>101500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65252</v>
      </c>
      <c r="CM77">
        <v>127680</v>
      </c>
      <c r="CN77">
        <v>63840</v>
      </c>
      <c r="CO77">
        <v>63840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19152</v>
      </c>
      <c r="CW77">
        <v>56818</v>
      </c>
      <c r="CX77">
        <v>236208</v>
      </c>
      <c r="CY77">
        <v>127680</v>
      </c>
      <c r="CZ77">
        <v>255360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 s="14">
        <v>5896140</v>
      </c>
      <c r="DI77" s="15" t="s">
        <v>683</v>
      </c>
      <c r="DJ77" s="11" t="str">
        <f t="shared" si="3"/>
        <v>KAREN THOMPSON</v>
      </c>
      <c r="DK77" s="16" t="s">
        <v>604</v>
      </c>
      <c r="DL77" s="17" t="s">
        <v>858</v>
      </c>
      <c r="DM77" s="16">
        <v>6211111</v>
      </c>
    </row>
    <row r="78" spans="1:117" x14ac:dyDescent="0.25">
      <c r="A78" s="11" t="str">
        <f t="shared" si="2"/>
        <v>MATTHEW HILL - UNIT WILAYAH UTARA</v>
      </c>
      <c r="B78" s="12">
        <v>11115004</v>
      </c>
      <c r="C78" s="12" t="s">
        <v>480</v>
      </c>
      <c r="D78" s="13" t="s">
        <v>215</v>
      </c>
      <c r="E78" t="s">
        <v>116</v>
      </c>
      <c r="F78" t="s">
        <v>351</v>
      </c>
      <c r="G78" t="s">
        <v>352</v>
      </c>
      <c r="H78" t="s">
        <v>355</v>
      </c>
      <c r="I78" t="s">
        <v>364</v>
      </c>
      <c r="J78" t="s">
        <v>421</v>
      </c>
      <c r="K78" t="s">
        <v>117</v>
      </c>
      <c r="L78" t="s">
        <v>118</v>
      </c>
      <c r="M78">
        <v>605000</v>
      </c>
      <c r="N78">
        <v>1808000</v>
      </c>
      <c r="O78">
        <v>0</v>
      </c>
      <c r="P78">
        <v>0</v>
      </c>
      <c r="Q78">
        <v>0</v>
      </c>
      <c r="R78">
        <v>0</v>
      </c>
      <c r="S78">
        <v>0</v>
      </c>
      <c r="T78">
        <v>650000</v>
      </c>
      <c r="U78">
        <v>1613000</v>
      </c>
      <c r="V78">
        <v>175000</v>
      </c>
      <c r="W78">
        <v>0</v>
      </c>
      <c r="X78">
        <v>150000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572021</v>
      </c>
      <c r="BK78">
        <v>0</v>
      </c>
      <c r="BL78">
        <v>100000</v>
      </c>
      <c r="BM78">
        <v>20000</v>
      </c>
      <c r="BN78">
        <v>1000</v>
      </c>
      <c r="BO78">
        <v>0</v>
      </c>
      <c r="BP78">
        <v>0</v>
      </c>
      <c r="BQ78">
        <v>2015500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97020</v>
      </c>
      <c r="CN78">
        <v>48510</v>
      </c>
      <c r="CO78">
        <v>48510</v>
      </c>
      <c r="CP78">
        <v>0</v>
      </c>
      <c r="CQ78">
        <v>0</v>
      </c>
      <c r="CR78">
        <v>0</v>
      </c>
      <c r="CS78">
        <v>0</v>
      </c>
      <c r="CT78">
        <v>169785</v>
      </c>
      <c r="CU78">
        <v>0</v>
      </c>
      <c r="CV78">
        <v>14553</v>
      </c>
      <c r="CW78">
        <v>43174</v>
      </c>
      <c r="CX78">
        <v>179487</v>
      </c>
      <c r="CY78">
        <v>97020</v>
      </c>
      <c r="CZ78">
        <v>194040</v>
      </c>
      <c r="DA78">
        <v>0</v>
      </c>
      <c r="DB78">
        <v>0</v>
      </c>
      <c r="DC78">
        <v>0</v>
      </c>
      <c r="DD78">
        <v>0</v>
      </c>
      <c r="DE78">
        <v>363825</v>
      </c>
      <c r="DF78">
        <v>0</v>
      </c>
      <c r="DG78">
        <v>0</v>
      </c>
      <c r="DH78" s="14">
        <v>1928654</v>
      </c>
      <c r="DI78" s="11" t="s">
        <v>735</v>
      </c>
      <c r="DJ78" s="11" t="str">
        <f t="shared" si="3"/>
        <v>MATTHEW HILL</v>
      </c>
      <c r="DK78" s="16" t="s">
        <v>604</v>
      </c>
      <c r="DL78" s="16" t="s">
        <v>849</v>
      </c>
      <c r="DM78" s="16">
        <v>6211111</v>
      </c>
    </row>
    <row r="79" spans="1:117" x14ac:dyDescent="0.25">
      <c r="A79" s="11" t="str">
        <f t="shared" si="2"/>
        <v>ROBERT ADAMS - UNIT WILAYAH UTARA</v>
      </c>
      <c r="B79" s="12">
        <v>11113872</v>
      </c>
      <c r="C79" s="12" t="s">
        <v>479</v>
      </c>
      <c r="D79" s="13" t="s">
        <v>149</v>
      </c>
      <c r="E79" t="s">
        <v>116</v>
      </c>
      <c r="F79" t="s">
        <v>351</v>
      </c>
      <c r="G79" t="s">
        <v>352</v>
      </c>
      <c r="H79" t="s">
        <v>355</v>
      </c>
      <c r="I79" t="s">
        <v>364</v>
      </c>
      <c r="J79" t="s">
        <v>421</v>
      </c>
      <c r="K79" t="s">
        <v>119</v>
      </c>
      <c r="L79" t="s">
        <v>120</v>
      </c>
      <c r="M79">
        <v>0</v>
      </c>
      <c r="N79">
        <v>0</v>
      </c>
      <c r="O79">
        <v>0</v>
      </c>
      <c r="P79">
        <v>0</v>
      </c>
      <c r="Q79">
        <v>5000000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244087</v>
      </c>
      <c r="BK79">
        <v>0</v>
      </c>
      <c r="BL79">
        <v>0</v>
      </c>
      <c r="BM79">
        <v>20000</v>
      </c>
      <c r="BN79">
        <v>1000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100000</v>
      </c>
      <c r="CN79">
        <v>50000</v>
      </c>
      <c r="CO79">
        <v>50000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15000</v>
      </c>
      <c r="CW79">
        <v>44500</v>
      </c>
      <c r="CX79">
        <v>185000</v>
      </c>
      <c r="CY79">
        <v>100000</v>
      </c>
      <c r="CZ79">
        <v>200000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 s="14">
        <v>4534913</v>
      </c>
      <c r="DI79" s="11" t="s">
        <v>729</v>
      </c>
      <c r="DJ79" s="11" t="str">
        <f t="shared" si="3"/>
        <v>ROBERT ADAMS</v>
      </c>
      <c r="DK79" s="16" t="s">
        <v>604</v>
      </c>
      <c r="DL79" s="16" t="s">
        <v>823</v>
      </c>
      <c r="DM79" s="16">
        <v>6211111</v>
      </c>
    </row>
    <row r="80" spans="1:117" x14ac:dyDescent="0.25">
      <c r="A80" s="11" t="str">
        <f t="shared" si="2"/>
        <v>ASHLEY TORRES - UNIT WILAYAH UTARA</v>
      </c>
      <c r="B80" s="12">
        <v>11113904</v>
      </c>
      <c r="C80" s="12" t="s">
        <v>483</v>
      </c>
      <c r="D80" s="13" t="s">
        <v>179</v>
      </c>
      <c r="E80" t="s">
        <v>116</v>
      </c>
      <c r="F80" t="s">
        <v>351</v>
      </c>
      <c r="G80" t="s">
        <v>352</v>
      </c>
      <c r="H80" t="s">
        <v>355</v>
      </c>
      <c r="I80" t="s">
        <v>360</v>
      </c>
      <c r="J80" t="s">
        <v>422</v>
      </c>
      <c r="K80" t="s">
        <v>119</v>
      </c>
      <c r="L80" t="s">
        <v>120</v>
      </c>
      <c r="M80">
        <v>0</v>
      </c>
      <c r="N80">
        <v>0</v>
      </c>
      <c r="O80">
        <v>0</v>
      </c>
      <c r="P80">
        <v>0</v>
      </c>
      <c r="Q80">
        <v>5000000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20000</v>
      </c>
      <c r="BN80">
        <v>1000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100000</v>
      </c>
      <c r="CN80">
        <v>50000</v>
      </c>
      <c r="CO80">
        <v>50000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15000</v>
      </c>
      <c r="CW80">
        <v>44500</v>
      </c>
      <c r="CX80">
        <v>185000</v>
      </c>
      <c r="CY80">
        <v>100000</v>
      </c>
      <c r="CZ80">
        <v>200000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 s="14">
        <v>4779000</v>
      </c>
      <c r="DI80" s="11" t="s">
        <v>755</v>
      </c>
      <c r="DJ80" s="11" t="str">
        <f t="shared" si="3"/>
        <v>ASHLEY TORRES</v>
      </c>
      <c r="DK80" s="16" t="s">
        <v>604</v>
      </c>
      <c r="DL80" s="16" t="s">
        <v>828</v>
      </c>
      <c r="DM80" s="16">
        <v>6211111</v>
      </c>
    </row>
    <row r="81" spans="1:117" x14ac:dyDescent="0.25">
      <c r="A81" s="11" t="str">
        <f t="shared" si="2"/>
        <v>BETTY ALLEN - UNIT WILAYAH UTARA</v>
      </c>
      <c r="B81" s="12">
        <v>11105602</v>
      </c>
      <c r="C81" s="12" t="s">
        <v>482</v>
      </c>
      <c r="D81" s="13" t="s">
        <v>145</v>
      </c>
      <c r="E81" t="s">
        <v>116</v>
      </c>
      <c r="F81" t="s">
        <v>351</v>
      </c>
      <c r="G81" t="s">
        <v>352</v>
      </c>
      <c r="H81" t="s">
        <v>354</v>
      </c>
      <c r="I81" t="s">
        <v>360</v>
      </c>
      <c r="J81" t="s">
        <v>422</v>
      </c>
      <c r="K81" t="s">
        <v>117</v>
      </c>
      <c r="L81" t="s">
        <v>118</v>
      </c>
      <c r="M81">
        <v>1004150</v>
      </c>
      <c r="N81">
        <v>2876500</v>
      </c>
      <c r="O81">
        <v>0</v>
      </c>
      <c r="P81">
        <v>0</v>
      </c>
      <c r="Q81">
        <v>0</v>
      </c>
      <c r="R81">
        <v>0</v>
      </c>
      <c r="S81">
        <v>0</v>
      </c>
      <c r="T81">
        <v>650000</v>
      </c>
      <c r="U81">
        <v>1613000</v>
      </c>
      <c r="V81">
        <v>175000</v>
      </c>
      <c r="W81">
        <v>0</v>
      </c>
      <c r="X81">
        <v>150000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32834</v>
      </c>
      <c r="BJ81">
        <v>0</v>
      </c>
      <c r="BK81">
        <v>0</v>
      </c>
      <c r="BL81">
        <v>100000</v>
      </c>
      <c r="BM81">
        <v>20000</v>
      </c>
      <c r="BN81">
        <v>1000</v>
      </c>
      <c r="BO81">
        <v>0</v>
      </c>
      <c r="BP81">
        <v>0</v>
      </c>
      <c r="BQ81">
        <v>101500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32834</v>
      </c>
      <c r="CM81">
        <v>109840</v>
      </c>
      <c r="CN81">
        <v>54920</v>
      </c>
      <c r="CO81">
        <v>54920</v>
      </c>
      <c r="CP81">
        <v>0</v>
      </c>
      <c r="CQ81">
        <v>0</v>
      </c>
      <c r="CR81">
        <v>0</v>
      </c>
      <c r="CS81">
        <v>0</v>
      </c>
      <c r="CT81">
        <v>192220</v>
      </c>
      <c r="CU81">
        <v>0</v>
      </c>
      <c r="CV81">
        <v>16476</v>
      </c>
      <c r="CW81">
        <v>48879</v>
      </c>
      <c r="CX81">
        <v>203204</v>
      </c>
      <c r="CY81">
        <v>109840</v>
      </c>
      <c r="CZ81">
        <v>219680</v>
      </c>
      <c r="DA81">
        <v>0</v>
      </c>
      <c r="DB81">
        <v>0</v>
      </c>
      <c r="DC81">
        <v>0</v>
      </c>
      <c r="DD81">
        <v>0</v>
      </c>
      <c r="DE81">
        <v>411900</v>
      </c>
      <c r="DF81">
        <v>0</v>
      </c>
      <c r="DG81">
        <v>0</v>
      </c>
      <c r="DH81" s="14">
        <v>5834250</v>
      </c>
      <c r="DI81" s="15" t="s">
        <v>677</v>
      </c>
      <c r="DJ81" s="11" t="str">
        <f t="shared" si="3"/>
        <v>BETTY ALLEN</v>
      </c>
      <c r="DK81" s="16" t="s">
        <v>604</v>
      </c>
      <c r="DL81" s="17" t="s">
        <v>859</v>
      </c>
      <c r="DM81" s="16">
        <v>6211111</v>
      </c>
    </row>
    <row r="82" spans="1:117" x14ac:dyDescent="0.25">
      <c r="A82" s="11" t="str">
        <f t="shared" si="2"/>
        <v>CAROL RODRIGUEZ - UNIT WILAYAH UTARA</v>
      </c>
      <c r="B82" s="12">
        <v>11101316</v>
      </c>
      <c r="C82" s="12" t="s">
        <v>567</v>
      </c>
      <c r="D82" s="13" t="s">
        <v>209</v>
      </c>
      <c r="E82" t="s">
        <v>116</v>
      </c>
      <c r="F82" t="s">
        <v>351</v>
      </c>
      <c r="G82" t="s">
        <v>352</v>
      </c>
      <c r="H82" t="s">
        <v>355</v>
      </c>
      <c r="I82" t="s">
        <v>360</v>
      </c>
      <c r="J82" t="s">
        <v>422</v>
      </c>
      <c r="K82" t="s">
        <v>117</v>
      </c>
      <c r="L82" t="s">
        <v>118</v>
      </c>
      <c r="M82">
        <v>1945250</v>
      </c>
      <c r="N82">
        <v>5614000</v>
      </c>
      <c r="O82">
        <v>0</v>
      </c>
      <c r="P82">
        <v>0</v>
      </c>
      <c r="Q82">
        <v>0</v>
      </c>
      <c r="R82">
        <v>0</v>
      </c>
      <c r="S82">
        <v>0</v>
      </c>
      <c r="T82">
        <v>650000</v>
      </c>
      <c r="U82">
        <v>1613000</v>
      </c>
      <c r="V82">
        <v>175000</v>
      </c>
      <c r="W82">
        <v>0</v>
      </c>
      <c r="X82">
        <v>150000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1578771</v>
      </c>
      <c r="BJ82">
        <v>53720</v>
      </c>
      <c r="BK82">
        <v>0</v>
      </c>
      <c r="BL82">
        <v>100000</v>
      </c>
      <c r="BM82">
        <v>20000</v>
      </c>
      <c r="BN82">
        <v>1000</v>
      </c>
      <c r="BO82">
        <v>0</v>
      </c>
      <c r="BP82">
        <v>0</v>
      </c>
      <c r="BQ82">
        <v>101500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1578771</v>
      </c>
      <c r="CM82">
        <v>169120</v>
      </c>
      <c r="CN82">
        <v>84560</v>
      </c>
      <c r="CO82">
        <v>84560</v>
      </c>
      <c r="CP82">
        <v>0</v>
      </c>
      <c r="CQ82">
        <v>30280</v>
      </c>
      <c r="CR82">
        <v>0</v>
      </c>
      <c r="CS82">
        <v>98410</v>
      </c>
      <c r="CT82">
        <v>0</v>
      </c>
      <c r="CU82">
        <v>0</v>
      </c>
      <c r="CV82">
        <v>25368</v>
      </c>
      <c r="CW82">
        <v>75258</v>
      </c>
      <c r="CX82">
        <v>312872</v>
      </c>
      <c r="CY82">
        <v>169120</v>
      </c>
      <c r="CZ82">
        <v>338240</v>
      </c>
      <c r="DA82">
        <v>0</v>
      </c>
      <c r="DB82">
        <v>60560</v>
      </c>
      <c r="DC82">
        <v>102952</v>
      </c>
      <c r="DD82">
        <v>0</v>
      </c>
      <c r="DE82">
        <v>0</v>
      </c>
      <c r="DF82">
        <v>0</v>
      </c>
      <c r="DG82">
        <v>0</v>
      </c>
      <c r="DH82" s="14">
        <v>9404100</v>
      </c>
      <c r="DI82" s="15" t="s">
        <v>787</v>
      </c>
      <c r="DJ82" s="11" t="str">
        <f t="shared" si="3"/>
        <v>CAROL RODRIGUEZ</v>
      </c>
      <c r="DK82" s="16" t="s">
        <v>604</v>
      </c>
      <c r="DL82" s="17" t="s">
        <v>829</v>
      </c>
      <c r="DM82" s="16">
        <v>6211111</v>
      </c>
    </row>
    <row r="83" spans="1:117" x14ac:dyDescent="0.25">
      <c r="A83" s="11" t="str">
        <f t="shared" si="2"/>
        <v>JESSICA KING - UNIT WILAYAH UTARA</v>
      </c>
      <c r="B83" s="12">
        <v>11241101111108</v>
      </c>
      <c r="C83" s="12">
        <v>11241101111108</v>
      </c>
      <c r="D83" s="13" t="s">
        <v>229</v>
      </c>
      <c r="E83" t="s">
        <v>122</v>
      </c>
      <c r="F83" t="s">
        <v>351</v>
      </c>
      <c r="G83" t="s">
        <v>352</v>
      </c>
      <c r="H83" t="s">
        <v>356</v>
      </c>
      <c r="I83" t="s">
        <v>360</v>
      </c>
      <c r="J83" t="s">
        <v>422</v>
      </c>
      <c r="K83">
        <v>0</v>
      </c>
      <c r="L83" t="s">
        <v>123</v>
      </c>
      <c r="M83">
        <v>0</v>
      </c>
      <c r="N83">
        <v>0</v>
      </c>
      <c r="O83">
        <v>0</v>
      </c>
      <c r="P83">
        <v>0</v>
      </c>
      <c r="Q83">
        <v>0</v>
      </c>
      <c r="R83">
        <v>3000000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 s="14">
        <v>3000000</v>
      </c>
      <c r="DI83" s="11" t="s">
        <v>642</v>
      </c>
      <c r="DJ83" s="11" t="str">
        <f t="shared" si="3"/>
        <v>JESSICA KING</v>
      </c>
      <c r="DK83" s="16" t="s">
        <v>604</v>
      </c>
      <c r="DL83" s="16" t="s">
        <v>826</v>
      </c>
      <c r="DM83" s="16">
        <v>6211111</v>
      </c>
    </row>
    <row r="84" spans="1:117" x14ac:dyDescent="0.25">
      <c r="A84" s="11" t="str">
        <f t="shared" si="2"/>
        <v>JOSHUA ALLEN - UNIT WILAYAH UTARA</v>
      </c>
      <c r="B84" s="12">
        <v>11100813</v>
      </c>
      <c r="C84" s="12">
        <v>11000813</v>
      </c>
      <c r="D84" s="13" t="s">
        <v>226</v>
      </c>
      <c r="E84" t="s">
        <v>124</v>
      </c>
      <c r="F84" t="s">
        <v>351</v>
      </c>
      <c r="G84" t="s">
        <v>352</v>
      </c>
      <c r="I84" t="s">
        <v>360</v>
      </c>
      <c r="J84" t="s">
        <v>422</v>
      </c>
      <c r="K84" t="s">
        <v>118</v>
      </c>
      <c r="L84" t="s">
        <v>125</v>
      </c>
      <c r="M84">
        <v>836000</v>
      </c>
      <c r="N84">
        <v>1360000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 s="14">
        <v>2196000</v>
      </c>
      <c r="DI84" s="11" t="s">
        <v>609</v>
      </c>
      <c r="DJ84" s="11" t="str">
        <f t="shared" si="3"/>
        <v>JOSHUA ALLEN</v>
      </c>
      <c r="DK84" s="16" t="s">
        <v>604</v>
      </c>
      <c r="DL84" s="16" t="s">
        <v>824</v>
      </c>
      <c r="DM84" s="16">
        <v>6211111</v>
      </c>
    </row>
    <row r="85" spans="1:117" x14ac:dyDescent="0.25">
      <c r="A85" s="11" t="str">
        <f t="shared" si="2"/>
        <v>MATTHEW NELSON - UNIT WILAYAH UTARA</v>
      </c>
      <c r="B85" s="12">
        <v>11108389</v>
      </c>
      <c r="C85" s="12" t="s">
        <v>540</v>
      </c>
      <c r="D85" s="13" t="s">
        <v>244</v>
      </c>
      <c r="E85" t="s">
        <v>116</v>
      </c>
      <c r="F85" t="s">
        <v>351</v>
      </c>
      <c r="G85" t="s">
        <v>352</v>
      </c>
      <c r="H85" t="s">
        <v>355</v>
      </c>
      <c r="I85" t="s">
        <v>360</v>
      </c>
      <c r="J85" t="s">
        <v>422</v>
      </c>
      <c r="K85" t="s">
        <v>117</v>
      </c>
      <c r="L85" t="s">
        <v>118</v>
      </c>
      <c r="M85">
        <v>1339250</v>
      </c>
      <c r="N85">
        <v>4454450</v>
      </c>
      <c r="O85">
        <v>0</v>
      </c>
      <c r="P85">
        <v>0</v>
      </c>
      <c r="Q85">
        <v>0</v>
      </c>
      <c r="R85">
        <v>0</v>
      </c>
      <c r="S85">
        <v>1800000</v>
      </c>
      <c r="T85">
        <v>0</v>
      </c>
      <c r="U85">
        <v>1131000</v>
      </c>
      <c r="V85">
        <v>225000</v>
      </c>
      <c r="W85">
        <v>0</v>
      </c>
      <c r="X85">
        <v>600000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1086459</v>
      </c>
      <c r="BJ85">
        <v>0</v>
      </c>
      <c r="BK85">
        <v>0</v>
      </c>
      <c r="BL85">
        <v>0</v>
      </c>
      <c r="BM85">
        <v>20000</v>
      </c>
      <c r="BN85">
        <v>1000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5000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1086459</v>
      </c>
      <c r="CM85">
        <v>154100</v>
      </c>
      <c r="CN85">
        <v>77050</v>
      </c>
      <c r="CO85">
        <v>77050</v>
      </c>
      <c r="CP85">
        <v>0</v>
      </c>
      <c r="CQ85">
        <v>0</v>
      </c>
      <c r="CR85">
        <v>0</v>
      </c>
      <c r="CS85">
        <v>0</v>
      </c>
      <c r="CT85">
        <v>269675</v>
      </c>
      <c r="CU85">
        <v>0</v>
      </c>
      <c r="CV85">
        <v>23115</v>
      </c>
      <c r="CW85">
        <v>68575</v>
      </c>
      <c r="CX85">
        <v>285085</v>
      </c>
      <c r="CY85">
        <v>154100</v>
      </c>
      <c r="CZ85">
        <v>308200</v>
      </c>
      <c r="DA85">
        <v>0</v>
      </c>
      <c r="DB85">
        <v>0</v>
      </c>
      <c r="DC85">
        <v>0</v>
      </c>
      <c r="DD85">
        <v>0</v>
      </c>
      <c r="DE85">
        <v>577875</v>
      </c>
      <c r="DF85">
        <v>0</v>
      </c>
      <c r="DG85">
        <v>0</v>
      </c>
      <c r="DH85" s="14">
        <v>8945825</v>
      </c>
      <c r="DI85" s="15" t="s">
        <v>673</v>
      </c>
      <c r="DJ85" s="11" t="str">
        <f t="shared" si="3"/>
        <v>MATTHEW NELSON</v>
      </c>
      <c r="DK85" s="16" t="s">
        <v>604</v>
      </c>
      <c r="DL85" s="17" t="s">
        <v>849</v>
      </c>
      <c r="DM85" s="16">
        <v>6211111</v>
      </c>
    </row>
    <row r="86" spans="1:117" x14ac:dyDescent="0.25">
      <c r="A86" s="11" t="str">
        <f t="shared" si="2"/>
        <v>STEVEN LOPEZ - UNIT WILAYAH UTARA</v>
      </c>
      <c r="B86" s="12">
        <v>11100984</v>
      </c>
      <c r="C86" s="12" t="s">
        <v>554</v>
      </c>
      <c r="D86" s="13" t="s">
        <v>189</v>
      </c>
      <c r="E86" t="s">
        <v>116</v>
      </c>
      <c r="F86" t="s">
        <v>351</v>
      </c>
      <c r="G86" t="s">
        <v>352</v>
      </c>
      <c r="H86" t="s">
        <v>355</v>
      </c>
      <c r="I86" t="s">
        <v>360</v>
      </c>
      <c r="J86" t="s">
        <v>422</v>
      </c>
      <c r="K86" t="s">
        <v>117</v>
      </c>
      <c r="L86" t="s">
        <v>118</v>
      </c>
      <c r="M86">
        <v>3257000</v>
      </c>
      <c r="N86">
        <v>6550000</v>
      </c>
      <c r="O86">
        <v>0</v>
      </c>
      <c r="P86">
        <v>0</v>
      </c>
      <c r="Q86">
        <v>0</v>
      </c>
      <c r="R86">
        <v>0</v>
      </c>
      <c r="S86">
        <v>1200000</v>
      </c>
      <c r="T86">
        <v>0</v>
      </c>
      <c r="U86">
        <v>1486000</v>
      </c>
      <c r="V86">
        <v>200000</v>
      </c>
      <c r="W86">
        <v>0</v>
      </c>
      <c r="X86">
        <v>400000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1224805</v>
      </c>
      <c r="BJ86">
        <v>93278</v>
      </c>
      <c r="BK86">
        <v>0</v>
      </c>
      <c r="BL86">
        <v>100000</v>
      </c>
      <c r="BM86">
        <v>20000</v>
      </c>
      <c r="BN86">
        <v>1000</v>
      </c>
      <c r="BO86">
        <v>0</v>
      </c>
      <c r="BP86">
        <v>0</v>
      </c>
      <c r="BQ86">
        <v>8810600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1224805</v>
      </c>
      <c r="CM86">
        <v>210780</v>
      </c>
      <c r="CN86">
        <v>105390</v>
      </c>
      <c r="CO86">
        <v>89397</v>
      </c>
      <c r="CP86">
        <v>0</v>
      </c>
      <c r="CQ86">
        <v>49960</v>
      </c>
      <c r="CR86">
        <v>0</v>
      </c>
      <c r="CS86">
        <v>162370</v>
      </c>
      <c r="CT86">
        <v>0</v>
      </c>
      <c r="CU86">
        <v>0</v>
      </c>
      <c r="CV86">
        <v>31617</v>
      </c>
      <c r="CW86">
        <v>93797</v>
      </c>
      <c r="CX86">
        <v>389943</v>
      </c>
      <c r="CY86">
        <v>178794</v>
      </c>
      <c r="CZ86">
        <v>421560</v>
      </c>
      <c r="DA86">
        <v>0</v>
      </c>
      <c r="DB86">
        <v>99920</v>
      </c>
      <c r="DC86">
        <v>169864</v>
      </c>
      <c r="DD86">
        <v>0</v>
      </c>
      <c r="DE86">
        <v>0</v>
      </c>
      <c r="DF86">
        <v>0</v>
      </c>
      <c r="DG86">
        <v>0</v>
      </c>
      <c r="DH86" s="14">
        <v>3450225</v>
      </c>
      <c r="DI86" s="15" t="s">
        <v>774</v>
      </c>
      <c r="DJ86" s="11" t="str">
        <f t="shared" si="3"/>
        <v>STEVEN LOPEZ</v>
      </c>
      <c r="DK86" s="16" t="s">
        <v>604</v>
      </c>
      <c r="DL86" s="17" t="s">
        <v>848</v>
      </c>
      <c r="DM86" s="16">
        <v>6211111</v>
      </c>
    </row>
    <row r="87" spans="1:117" x14ac:dyDescent="0.25">
      <c r="A87" s="11" t="str">
        <f t="shared" si="2"/>
        <v>ANDREW HARRIS - UNIT WILAYAH UTARA</v>
      </c>
      <c r="B87" s="12">
        <v>11101842</v>
      </c>
      <c r="C87" s="12" t="s">
        <v>586</v>
      </c>
      <c r="D87" s="13" t="s">
        <v>264</v>
      </c>
      <c r="E87" t="s">
        <v>116</v>
      </c>
      <c r="F87" t="s">
        <v>351</v>
      </c>
      <c r="G87" t="s">
        <v>352</v>
      </c>
      <c r="H87" t="s">
        <v>355</v>
      </c>
      <c r="I87" t="s">
        <v>370</v>
      </c>
      <c r="J87" t="s">
        <v>423</v>
      </c>
      <c r="K87" t="s">
        <v>117</v>
      </c>
      <c r="L87" t="s">
        <v>118</v>
      </c>
      <c r="M87">
        <v>1527250</v>
      </c>
      <c r="N87">
        <v>4305000</v>
      </c>
      <c r="O87">
        <v>0</v>
      </c>
      <c r="P87">
        <v>0</v>
      </c>
      <c r="Q87">
        <v>0</v>
      </c>
      <c r="R87">
        <v>0</v>
      </c>
      <c r="S87">
        <v>0</v>
      </c>
      <c r="T87">
        <v>650000</v>
      </c>
      <c r="U87">
        <v>1613000</v>
      </c>
      <c r="V87">
        <v>175000</v>
      </c>
      <c r="W87">
        <v>0</v>
      </c>
      <c r="X87">
        <v>150000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417400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151461</v>
      </c>
      <c r="BJ87">
        <v>143850</v>
      </c>
      <c r="BK87">
        <v>0</v>
      </c>
      <c r="BL87">
        <v>100000</v>
      </c>
      <c r="BM87">
        <v>20000</v>
      </c>
      <c r="BN87">
        <v>1000</v>
      </c>
      <c r="BO87">
        <v>0</v>
      </c>
      <c r="BP87">
        <v>0</v>
      </c>
      <c r="BQ87">
        <v>124900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158765</v>
      </c>
      <c r="CM87">
        <v>139860</v>
      </c>
      <c r="CN87">
        <v>69930</v>
      </c>
      <c r="CO87">
        <v>69930</v>
      </c>
      <c r="CP87">
        <v>0</v>
      </c>
      <c r="CQ87">
        <v>23300</v>
      </c>
      <c r="CR87">
        <v>0</v>
      </c>
      <c r="CS87">
        <v>75725</v>
      </c>
      <c r="CT87">
        <v>0</v>
      </c>
      <c r="CU87">
        <v>0</v>
      </c>
      <c r="CV87">
        <v>20979</v>
      </c>
      <c r="CW87">
        <v>62238</v>
      </c>
      <c r="CX87">
        <v>258741</v>
      </c>
      <c r="CY87">
        <v>139860</v>
      </c>
      <c r="CZ87">
        <v>279720</v>
      </c>
      <c r="DA87">
        <v>0</v>
      </c>
      <c r="DB87">
        <v>46600</v>
      </c>
      <c r="DC87">
        <v>79220</v>
      </c>
      <c r="DD87">
        <v>0</v>
      </c>
      <c r="DE87">
        <v>0</v>
      </c>
      <c r="DF87">
        <v>0</v>
      </c>
      <c r="DG87">
        <v>0</v>
      </c>
      <c r="DH87" s="14">
        <v>8061851</v>
      </c>
      <c r="DI87" s="15" t="s">
        <v>806</v>
      </c>
      <c r="DJ87" s="11" t="str">
        <f t="shared" si="3"/>
        <v>ANDREW HARRIS</v>
      </c>
      <c r="DK87" s="16" t="s">
        <v>604</v>
      </c>
      <c r="DL87" s="17" t="s">
        <v>860</v>
      </c>
      <c r="DM87" s="16">
        <v>6211111</v>
      </c>
    </row>
    <row r="88" spans="1:117" x14ac:dyDescent="0.25">
      <c r="A88" s="11" t="str">
        <f t="shared" si="2"/>
        <v>ANDREW SANCHEZ - UNIT WILAYAH UTARA</v>
      </c>
      <c r="B88" s="12">
        <v>11101292</v>
      </c>
      <c r="C88" s="12" t="s">
        <v>565</v>
      </c>
      <c r="D88" s="13" t="s">
        <v>257</v>
      </c>
      <c r="E88" t="s">
        <v>116</v>
      </c>
      <c r="F88" t="s">
        <v>351</v>
      </c>
      <c r="G88" t="s">
        <v>352</v>
      </c>
      <c r="H88" t="s">
        <v>355</v>
      </c>
      <c r="I88" t="s">
        <v>370</v>
      </c>
      <c r="J88" t="s">
        <v>423</v>
      </c>
      <c r="K88" t="s">
        <v>117</v>
      </c>
      <c r="L88" t="s">
        <v>118</v>
      </c>
      <c r="M88">
        <v>2118850</v>
      </c>
      <c r="N88">
        <v>6153050</v>
      </c>
      <c r="O88">
        <v>0</v>
      </c>
      <c r="P88">
        <v>0</v>
      </c>
      <c r="Q88">
        <v>0</v>
      </c>
      <c r="R88">
        <v>0</v>
      </c>
      <c r="S88">
        <v>0</v>
      </c>
      <c r="T88">
        <v>650000</v>
      </c>
      <c r="U88">
        <v>1613000</v>
      </c>
      <c r="V88">
        <v>175000</v>
      </c>
      <c r="W88">
        <v>0</v>
      </c>
      <c r="X88">
        <v>150000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400000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223758</v>
      </c>
      <c r="BJ88">
        <v>0</v>
      </c>
      <c r="BK88">
        <v>0</v>
      </c>
      <c r="BL88">
        <v>100000</v>
      </c>
      <c r="BM88">
        <v>20000</v>
      </c>
      <c r="BN88">
        <v>1000</v>
      </c>
      <c r="BO88">
        <v>0</v>
      </c>
      <c r="BP88">
        <v>0</v>
      </c>
      <c r="BQ88">
        <v>882500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5235346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289698</v>
      </c>
      <c r="CM88">
        <v>175240</v>
      </c>
      <c r="CN88">
        <v>87620</v>
      </c>
      <c r="CO88">
        <v>87620</v>
      </c>
      <c r="CP88">
        <v>0</v>
      </c>
      <c r="CQ88">
        <v>31400</v>
      </c>
      <c r="CR88">
        <v>0</v>
      </c>
      <c r="CS88">
        <v>102050</v>
      </c>
      <c r="CT88">
        <v>0</v>
      </c>
      <c r="CU88">
        <v>0</v>
      </c>
      <c r="CV88">
        <v>26286</v>
      </c>
      <c r="CW88">
        <v>77982</v>
      </c>
      <c r="CX88">
        <v>324194</v>
      </c>
      <c r="CY88">
        <v>175240</v>
      </c>
      <c r="CZ88">
        <v>350480</v>
      </c>
      <c r="DA88">
        <v>0</v>
      </c>
      <c r="DB88">
        <v>62800</v>
      </c>
      <c r="DC88">
        <v>106760</v>
      </c>
      <c r="DD88">
        <v>0</v>
      </c>
      <c r="DE88">
        <v>0</v>
      </c>
      <c r="DF88">
        <v>0</v>
      </c>
      <c r="DG88">
        <v>0</v>
      </c>
      <c r="DH88" s="14">
        <v>4471184</v>
      </c>
      <c r="DI88" s="15" t="s">
        <v>785</v>
      </c>
      <c r="DJ88" s="11" t="str">
        <f t="shared" si="3"/>
        <v>ANDREW SANCHEZ</v>
      </c>
      <c r="DK88" s="16" t="s">
        <v>604</v>
      </c>
      <c r="DL88" s="17" t="s">
        <v>860</v>
      </c>
      <c r="DM88" s="16">
        <v>6211111</v>
      </c>
    </row>
    <row r="89" spans="1:117" x14ac:dyDescent="0.25">
      <c r="A89" s="11" t="str">
        <f t="shared" si="2"/>
        <v>ANTHONY NGUYEN - UNIT WILAYAH UTARA</v>
      </c>
      <c r="B89" s="12">
        <v>11241101111105</v>
      </c>
      <c r="C89" s="12">
        <v>11241101111105</v>
      </c>
      <c r="D89" s="13" t="s">
        <v>224</v>
      </c>
      <c r="E89" t="s">
        <v>122</v>
      </c>
      <c r="F89" t="s">
        <v>351</v>
      </c>
      <c r="G89" t="s">
        <v>352</v>
      </c>
      <c r="H89" t="s">
        <v>356</v>
      </c>
      <c r="I89" t="s">
        <v>370</v>
      </c>
      <c r="J89" t="s">
        <v>423</v>
      </c>
      <c r="K89">
        <v>0</v>
      </c>
      <c r="L89" t="s">
        <v>123</v>
      </c>
      <c r="M89">
        <v>0</v>
      </c>
      <c r="N89">
        <v>0</v>
      </c>
      <c r="O89">
        <v>0</v>
      </c>
      <c r="P89">
        <v>0</v>
      </c>
      <c r="Q89">
        <v>0</v>
      </c>
      <c r="R89">
        <v>3000000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417400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 s="14">
        <v>3417400</v>
      </c>
      <c r="DI89" s="11" t="s">
        <v>639</v>
      </c>
      <c r="DJ89" s="11" t="str">
        <f t="shared" si="3"/>
        <v>ANTHONY NGUYEN</v>
      </c>
      <c r="DK89" s="16" t="s">
        <v>604</v>
      </c>
      <c r="DL89" s="16" t="s">
        <v>846</v>
      </c>
      <c r="DM89" s="16">
        <v>6211111</v>
      </c>
    </row>
    <row r="90" spans="1:117" x14ac:dyDescent="0.25">
      <c r="A90" s="11" t="str">
        <f t="shared" si="2"/>
        <v>BARBARA SANCHEZ - UNIT WILAYAH UTARA</v>
      </c>
      <c r="B90" s="12">
        <v>11116610</v>
      </c>
      <c r="C90" s="12" t="s">
        <v>121</v>
      </c>
      <c r="D90" s="13" t="s">
        <v>291</v>
      </c>
      <c r="E90" t="s">
        <v>116</v>
      </c>
      <c r="F90" t="s">
        <v>351</v>
      </c>
      <c r="G90" t="s">
        <v>352</v>
      </c>
      <c r="H90" t="s">
        <v>355</v>
      </c>
      <c r="I90" t="s">
        <v>370</v>
      </c>
      <c r="J90" t="s">
        <v>423</v>
      </c>
      <c r="K90" t="s">
        <v>119</v>
      </c>
      <c r="L90" t="s">
        <v>120</v>
      </c>
      <c r="M90">
        <v>0</v>
      </c>
      <c r="N90">
        <v>0</v>
      </c>
      <c r="O90">
        <v>0</v>
      </c>
      <c r="P90">
        <v>0</v>
      </c>
      <c r="Q90">
        <v>4961753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417400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20000</v>
      </c>
      <c r="BN90">
        <v>1000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13595</v>
      </c>
      <c r="CM90">
        <v>99235</v>
      </c>
      <c r="CN90">
        <v>49618</v>
      </c>
      <c r="CO90">
        <v>49618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14885</v>
      </c>
      <c r="CW90">
        <v>44160</v>
      </c>
      <c r="CX90">
        <v>183585</v>
      </c>
      <c r="CY90">
        <v>99235</v>
      </c>
      <c r="CZ90">
        <v>198470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 s="14">
        <v>5146087</v>
      </c>
      <c r="DI90" s="11" t="s">
        <v>657</v>
      </c>
      <c r="DJ90" s="11" t="str">
        <f t="shared" si="3"/>
        <v>BARBARA SANCHEZ</v>
      </c>
      <c r="DK90" s="16" t="s">
        <v>604</v>
      </c>
      <c r="DL90" s="16" t="s">
        <v>855</v>
      </c>
      <c r="DM90" s="16">
        <v>6211111</v>
      </c>
    </row>
    <row r="91" spans="1:117" x14ac:dyDescent="0.25">
      <c r="A91" s="11" t="str">
        <f t="shared" si="2"/>
        <v>BRIAN SCOTT - UNIT WILAYAH UTARA</v>
      </c>
      <c r="B91" s="12">
        <v>11113900</v>
      </c>
      <c r="C91" s="12" t="s">
        <v>487</v>
      </c>
      <c r="D91" s="13" t="s">
        <v>303</v>
      </c>
      <c r="E91" t="s">
        <v>116</v>
      </c>
      <c r="F91" t="s">
        <v>351</v>
      </c>
      <c r="G91" t="s">
        <v>352</v>
      </c>
      <c r="H91" t="s">
        <v>355</v>
      </c>
      <c r="I91" t="s">
        <v>370</v>
      </c>
      <c r="J91" t="s">
        <v>423</v>
      </c>
      <c r="K91" t="s">
        <v>119</v>
      </c>
      <c r="L91" t="s">
        <v>120</v>
      </c>
      <c r="M91">
        <v>0</v>
      </c>
      <c r="N91">
        <v>0</v>
      </c>
      <c r="O91">
        <v>0</v>
      </c>
      <c r="P91">
        <v>0</v>
      </c>
      <c r="Q91">
        <v>4961753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556600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20000</v>
      </c>
      <c r="BN91">
        <v>1000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13943</v>
      </c>
      <c r="CM91">
        <v>99235</v>
      </c>
      <c r="CN91">
        <v>49618</v>
      </c>
      <c r="CO91">
        <v>49618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14885</v>
      </c>
      <c r="CW91">
        <v>44160</v>
      </c>
      <c r="CX91">
        <v>183585</v>
      </c>
      <c r="CY91">
        <v>99235</v>
      </c>
      <c r="CZ91">
        <v>198470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 s="14">
        <v>5284939</v>
      </c>
      <c r="DI91" s="11" t="s">
        <v>745</v>
      </c>
      <c r="DJ91" s="11" t="str">
        <f t="shared" si="3"/>
        <v>BRIAN SCOTT</v>
      </c>
      <c r="DK91" s="16" t="s">
        <v>604</v>
      </c>
      <c r="DL91" s="16" t="s">
        <v>821</v>
      </c>
      <c r="DM91" s="16">
        <v>6211111</v>
      </c>
    </row>
    <row r="92" spans="1:117" x14ac:dyDescent="0.25">
      <c r="A92" s="11" t="str">
        <f t="shared" si="2"/>
        <v>DANIEL WILSON - UNIT WILAYAH UTARA</v>
      </c>
      <c r="B92" s="12">
        <v>11113898</v>
      </c>
      <c r="C92" s="12" t="s">
        <v>486</v>
      </c>
      <c r="D92" s="13" t="s">
        <v>246</v>
      </c>
      <c r="E92" t="s">
        <v>116</v>
      </c>
      <c r="F92" t="s">
        <v>351</v>
      </c>
      <c r="G92" t="s">
        <v>352</v>
      </c>
      <c r="H92" t="s">
        <v>355</v>
      </c>
      <c r="I92" t="s">
        <v>370</v>
      </c>
      <c r="J92" t="s">
        <v>423</v>
      </c>
      <c r="K92" t="s">
        <v>119</v>
      </c>
      <c r="L92" t="s">
        <v>120</v>
      </c>
      <c r="M92">
        <v>0</v>
      </c>
      <c r="N92">
        <v>0</v>
      </c>
      <c r="O92">
        <v>0</v>
      </c>
      <c r="P92">
        <v>0</v>
      </c>
      <c r="Q92">
        <v>5000000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556600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20000</v>
      </c>
      <c r="BN92">
        <v>1000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14040</v>
      </c>
      <c r="CM92">
        <v>100000</v>
      </c>
      <c r="CN92">
        <v>50000</v>
      </c>
      <c r="CO92">
        <v>50000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15000</v>
      </c>
      <c r="CW92">
        <v>44500</v>
      </c>
      <c r="CX92">
        <v>185000</v>
      </c>
      <c r="CY92">
        <v>100000</v>
      </c>
      <c r="CZ92">
        <v>200000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 s="14">
        <v>5321560</v>
      </c>
      <c r="DI92" s="11" t="s">
        <v>712</v>
      </c>
      <c r="DJ92" s="11" t="str">
        <f t="shared" si="3"/>
        <v>DANIEL WILSON</v>
      </c>
      <c r="DK92" s="16" t="s">
        <v>604</v>
      </c>
      <c r="DL92" s="16" t="s">
        <v>853</v>
      </c>
      <c r="DM92" s="16">
        <v>6211111</v>
      </c>
    </row>
    <row r="93" spans="1:117" x14ac:dyDescent="0.25">
      <c r="A93" s="11" t="str">
        <f t="shared" si="2"/>
        <v>JENNIFER HILL - UNIT WILAYAH UTARA</v>
      </c>
      <c r="B93" s="12">
        <v>11100983</v>
      </c>
      <c r="C93" s="12" t="s">
        <v>553</v>
      </c>
      <c r="D93" s="13" t="s">
        <v>263</v>
      </c>
      <c r="E93" t="s">
        <v>116</v>
      </c>
      <c r="F93" t="s">
        <v>351</v>
      </c>
      <c r="G93" t="s">
        <v>352</v>
      </c>
      <c r="H93" t="s">
        <v>355</v>
      </c>
      <c r="I93" t="s">
        <v>370</v>
      </c>
      <c r="J93" t="s">
        <v>423</v>
      </c>
      <c r="K93" t="s">
        <v>117</v>
      </c>
      <c r="L93" t="s">
        <v>118</v>
      </c>
      <c r="M93">
        <v>858000</v>
      </c>
      <c r="N93">
        <v>2506000</v>
      </c>
      <c r="O93">
        <v>0</v>
      </c>
      <c r="P93">
        <v>0</v>
      </c>
      <c r="Q93">
        <v>0</v>
      </c>
      <c r="R93">
        <v>0</v>
      </c>
      <c r="S93">
        <v>0</v>
      </c>
      <c r="T93">
        <v>650000</v>
      </c>
      <c r="U93">
        <v>1613000</v>
      </c>
      <c r="V93">
        <v>175000</v>
      </c>
      <c r="W93">
        <v>0</v>
      </c>
      <c r="X93">
        <v>150000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417400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45432</v>
      </c>
      <c r="BJ93">
        <v>0</v>
      </c>
      <c r="BK93">
        <v>0</v>
      </c>
      <c r="BL93">
        <v>0</v>
      </c>
      <c r="BM93">
        <v>20000</v>
      </c>
      <c r="BN93">
        <v>1000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64750</v>
      </c>
      <c r="CM93">
        <v>101280</v>
      </c>
      <c r="CN93">
        <v>50640</v>
      </c>
      <c r="CO93">
        <v>50640</v>
      </c>
      <c r="CP93">
        <v>0</v>
      </c>
      <c r="CQ93">
        <v>0</v>
      </c>
      <c r="CR93">
        <v>0</v>
      </c>
      <c r="CS93">
        <v>0</v>
      </c>
      <c r="CT93">
        <v>177240</v>
      </c>
      <c r="CU93">
        <v>0</v>
      </c>
      <c r="CV93">
        <v>15192</v>
      </c>
      <c r="CW93">
        <v>45070</v>
      </c>
      <c r="CX93">
        <v>187368</v>
      </c>
      <c r="CY93">
        <v>101280</v>
      </c>
      <c r="CZ93">
        <v>202560</v>
      </c>
      <c r="DA93">
        <v>0</v>
      </c>
      <c r="DB93">
        <v>0</v>
      </c>
      <c r="DC93">
        <v>0</v>
      </c>
      <c r="DD93">
        <v>0</v>
      </c>
      <c r="DE93">
        <v>379800</v>
      </c>
      <c r="DF93">
        <v>0</v>
      </c>
      <c r="DG93">
        <v>0</v>
      </c>
      <c r="DH93" s="14">
        <v>5949282</v>
      </c>
      <c r="DI93" s="15" t="s">
        <v>773</v>
      </c>
      <c r="DJ93" s="11" t="str">
        <f t="shared" si="3"/>
        <v>JENNIFER HILL</v>
      </c>
      <c r="DK93" s="16" t="s">
        <v>604</v>
      </c>
      <c r="DL93" s="17" t="s">
        <v>844</v>
      </c>
      <c r="DM93" s="16">
        <v>6211111</v>
      </c>
    </row>
    <row r="94" spans="1:117" x14ac:dyDescent="0.25">
      <c r="A94" s="11" t="str">
        <f t="shared" si="2"/>
        <v>JESSICA THOMPSON - UNIT WILAYAH UTARA</v>
      </c>
      <c r="B94" s="12">
        <v>11101314</v>
      </c>
      <c r="C94" s="12" t="s">
        <v>566</v>
      </c>
      <c r="D94" s="13" t="s">
        <v>299</v>
      </c>
      <c r="E94" t="s">
        <v>116</v>
      </c>
      <c r="F94" t="s">
        <v>351</v>
      </c>
      <c r="G94" t="s">
        <v>352</v>
      </c>
      <c r="H94" t="s">
        <v>357</v>
      </c>
      <c r="I94" t="s">
        <v>370</v>
      </c>
      <c r="J94" t="s">
        <v>423</v>
      </c>
      <c r="K94" t="s">
        <v>117</v>
      </c>
      <c r="L94" t="s">
        <v>118</v>
      </c>
      <c r="M94">
        <v>1509500</v>
      </c>
      <c r="N94">
        <v>4338000</v>
      </c>
      <c r="O94">
        <v>0</v>
      </c>
      <c r="P94">
        <v>0</v>
      </c>
      <c r="Q94">
        <v>0</v>
      </c>
      <c r="R94">
        <v>0</v>
      </c>
      <c r="S94">
        <v>0</v>
      </c>
      <c r="T94">
        <v>650000</v>
      </c>
      <c r="U94">
        <v>1613000</v>
      </c>
      <c r="V94">
        <v>175000</v>
      </c>
      <c r="W94">
        <v>0</v>
      </c>
      <c r="X94">
        <v>100000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266700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150845</v>
      </c>
      <c r="BJ94">
        <v>10000</v>
      </c>
      <c r="BK94">
        <v>0</v>
      </c>
      <c r="BL94">
        <v>100000</v>
      </c>
      <c r="BM94">
        <v>20000</v>
      </c>
      <c r="BN94">
        <v>1000</v>
      </c>
      <c r="BO94">
        <v>0</v>
      </c>
      <c r="BP94">
        <v>0</v>
      </c>
      <c r="BQ94">
        <v>126500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155512</v>
      </c>
      <c r="CM94">
        <v>140180</v>
      </c>
      <c r="CN94">
        <v>70090</v>
      </c>
      <c r="CO94">
        <v>70090</v>
      </c>
      <c r="CP94">
        <v>0</v>
      </c>
      <c r="CQ94">
        <v>23260</v>
      </c>
      <c r="CR94">
        <v>0</v>
      </c>
      <c r="CS94">
        <v>75595</v>
      </c>
      <c r="CT94">
        <v>0</v>
      </c>
      <c r="CU94">
        <v>0</v>
      </c>
      <c r="CV94">
        <v>21027</v>
      </c>
      <c r="CW94">
        <v>62380</v>
      </c>
      <c r="CX94">
        <v>259333</v>
      </c>
      <c r="CY94">
        <v>140180</v>
      </c>
      <c r="CZ94">
        <v>280360</v>
      </c>
      <c r="DA94">
        <v>0</v>
      </c>
      <c r="DB94">
        <v>46520</v>
      </c>
      <c r="DC94">
        <v>79084</v>
      </c>
      <c r="DD94">
        <v>0</v>
      </c>
      <c r="DE94">
        <v>0</v>
      </c>
      <c r="DF94">
        <v>0</v>
      </c>
      <c r="DG94">
        <v>0</v>
      </c>
      <c r="DH94" s="14">
        <v>8010818</v>
      </c>
      <c r="DI94" s="15" t="s">
        <v>786</v>
      </c>
      <c r="DJ94" s="11" t="str">
        <f t="shared" si="3"/>
        <v>JESSICA THOMPSON</v>
      </c>
      <c r="DK94" s="16" t="s">
        <v>604</v>
      </c>
      <c r="DL94" s="17" t="s">
        <v>826</v>
      </c>
      <c r="DM94" s="16">
        <v>6211111</v>
      </c>
    </row>
    <row r="95" spans="1:117" x14ac:dyDescent="0.25">
      <c r="A95" s="11" t="str">
        <f t="shared" si="2"/>
        <v>MARY ADAMS - UNIT WILAYAH UTARA</v>
      </c>
      <c r="B95" s="12">
        <v>11115539</v>
      </c>
      <c r="C95" s="12" t="s">
        <v>484</v>
      </c>
      <c r="D95" s="13" t="s">
        <v>156</v>
      </c>
      <c r="E95" t="s">
        <v>116</v>
      </c>
      <c r="F95" t="s">
        <v>351</v>
      </c>
      <c r="G95" t="s">
        <v>352</v>
      </c>
      <c r="H95" t="s">
        <v>355</v>
      </c>
      <c r="I95" t="s">
        <v>370</v>
      </c>
      <c r="J95" t="s">
        <v>423</v>
      </c>
      <c r="K95" t="s">
        <v>119</v>
      </c>
      <c r="L95" t="s">
        <v>120</v>
      </c>
      <c r="M95">
        <v>0</v>
      </c>
      <c r="N95">
        <v>0</v>
      </c>
      <c r="O95">
        <v>0</v>
      </c>
      <c r="P95">
        <v>0</v>
      </c>
      <c r="Q95">
        <v>4961753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417400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4397</v>
      </c>
      <c r="BK95">
        <v>0</v>
      </c>
      <c r="BL95">
        <v>0</v>
      </c>
      <c r="BM95">
        <v>20000</v>
      </c>
      <c r="BN95">
        <v>1000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13595</v>
      </c>
      <c r="CM95">
        <v>99235</v>
      </c>
      <c r="CN95">
        <v>49618</v>
      </c>
      <c r="CO95">
        <v>49618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14885</v>
      </c>
      <c r="CW95">
        <v>44160</v>
      </c>
      <c r="CX95">
        <v>183585</v>
      </c>
      <c r="CY95">
        <v>99235</v>
      </c>
      <c r="CZ95">
        <v>198470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 s="14">
        <v>5141690</v>
      </c>
      <c r="DI95" s="11" t="s">
        <v>756</v>
      </c>
      <c r="DJ95" s="11" t="str">
        <f t="shared" si="3"/>
        <v>MARY ADAMS</v>
      </c>
      <c r="DK95" s="16" t="s">
        <v>604</v>
      </c>
      <c r="DL95" s="16" t="s">
        <v>862</v>
      </c>
      <c r="DM95" s="16">
        <v>6211111</v>
      </c>
    </row>
    <row r="96" spans="1:117" x14ac:dyDescent="0.25">
      <c r="A96" s="11" t="str">
        <f t="shared" si="2"/>
        <v>MARY ANDERSON - UNIT WILAYAH UTARA</v>
      </c>
      <c r="B96" s="12">
        <v>11101564</v>
      </c>
      <c r="C96" s="12" t="s">
        <v>579</v>
      </c>
      <c r="D96" s="13" t="s">
        <v>205</v>
      </c>
      <c r="E96" t="s">
        <v>116</v>
      </c>
      <c r="F96" t="s">
        <v>351</v>
      </c>
      <c r="G96" t="s">
        <v>352</v>
      </c>
      <c r="H96" t="s">
        <v>358</v>
      </c>
      <c r="I96" t="s">
        <v>370</v>
      </c>
      <c r="J96" t="s">
        <v>423</v>
      </c>
      <c r="K96" t="s">
        <v>117</v>
      </c>
      <c r="L96" t="s">
        <v>118</v>
      </c>
      <c r="M96">
        <v>1463375</v>
      </c>
      <c r="N96">
        <v>4436700</v>
      </c>
      <c r="O96">
        <v>0</v>
      </c>
      <c r="P96">
        <v>0</v>
      </c>
      <c r="Q96">
        <v>0</v>
      </c>
      <c r="R96">
        <v>0</v>
      </c>
      <c r="S96">
        <v>0</v>
      </c>
      <c r="T96">
        <v>650000</v>
      </c>
      <c r="U96">
        <v>1613000</v>
      </c>
      <c r="V96">
        <v>175000</v>
      </c>
      <c r="W96">
        <v>0</v>
      </c>
      <c r="X96">
        <v>100000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278300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86066</v>
      </c>
      <c r="BJ96">
        <v>0</v>
      </c>
      <c r="BK96">
        <v>0</v>
      </c>
      <c r="BL96">
        <v>100000</v>
      </c>
      <c r="BM96">
        <v>20000</v>
      </c>
      <c r="BN96">
        <v>1000</v>
      </c>
      <c r="BO96">
        <v>0</v>
      </c>
      <c r="BP96">
        <v>0</v>
      </c>
      <c r="BQ96">
        <v>1071500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1613350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88849</v>
      </c>
      <c r="CM96">
        <v>138680</v>
      </c>
      <c r="CN96">
        <v>69340</v>
      </c>
      <c r="CO96">
        <v>69340</v>
      </c>
      <c r="CP96">
        <v>0</v>
      </c>
      <c r="CQ96">
        <v>21580</v>
      </c>
      <c r="CR96">
        <v>0</v>
      </c>
      <c r="CS96">
        <v>70135</v>
      </c>
      <c r="CT96">
        <v>0</v>
      </c>
      <c r="CU96">
        <v>0</v>
      </c>
      <c r="CV96">
        <v>20802</v>
      </c>
      <c r="CW96">
        <v>61713</v>
      </c>
      <c r="CX96">
        <v>256558</v>
      </c>
      <c r="CY96">
        <v>138680</v>
      </c>
      <c r="CZ96">
        <v>277360</v>
      </c>
      <c r="DA96">
        <v>0</v>
      </c>
      <c r="DB96">
        <v>43160</v>
      </c>
      <c r="DC96">
        <v>73372</v>
      </c>
      <c r="DD96">
        <v>0</v>
      </c>
      <c r="DE96">
        <v>0</v>
      </c>
      <c r="DF96">
        <v>0</v>
      </c>
      <c r="DG96">
        <v>0</v>
      </c>
      <c r="DH96" s="14">
        <v>5538667</v>
      </c>
      <c r="DI96" s="15" t="s">
        <v>799</v>
      </c>
      <c r="DJ96" s="11" t="str">
        <f t="shared" si="3"/>
        <v>MARY ANDERSON</v>
      </c>
      <c r="DK96" s="16" t="s">
        <v>604</v>
      </c>
      <c r="DL96" s="17" t="s">
        <v>862</v>
      </c>
      <c r="DM96" s="16">
        <v>6211111</v>
      </c>
    </row>
    <row r="97" spans="1:117" x14ac:dyDescent="0.25">
      <c r="A97" s="11" t="str">
        <f t="shared" si="2"/>
        <v>MICHAEL LEWIS - UNIT WILAYAH UTARA</v>
      </c>
      <c r="B97" s="12">
        <v>11113865</v>
      </c>
      <c r="C97" s="12" t="s">
        <v>485</v>
      </c>
      <c r="D97" s="13" t="s">
        <v>221</v>
      </c>
      <c r="E97" t="s">
        <v>116</v>
      </c>
      <c r="F97" t="s">
        <v>351</v>
      </c>
      <c r="G97" t="s">
        <v>352</v>
      </c>
      <c r="H97" t="s">
        <v>355</v>
      </c>
      <c r="I97" t="s">
        <v>370</v>
      </c>
      <c r="J97" t="s">
        <v>423</v>
      </c>
      <c r="K97" t="s">
        <v>119</v>
      </c>
      <c r="L97" t="s">
        <v>120</v>
      </c>
      <c r="M97">
        <v>0</v>
      </c>
      <c r="N97">
        <v>0</v>
      </c>
      <c r="O97">
        <v>0</v>
      </c>
      <c r="P97">
        <v>0</v>
      </c>
      <c r="Q97">
        <v>4961753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556600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20000</v>
      </c>
      <c r="BN97">
        <v>1000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13943</v>
      </c>
      <c r="CM97">
        <v>99235</v>
      </c>
      <c r="CN97">
        <v>49618</v>
      </c>
      <c r="CO97">
        <v>49618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14885</v>
      </c>
      <c r="CW97">
        <v>44160</v>
      </c>
      <c r="CX97">
        <v>183585</v>
      </c>
      <c r="CY97">
        <v>99235</v>
      </c>
      <c r="CZ97">
        <v>198470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 s="14">
        <v>5284939</v>
      </c>
      <c r="DI97" s="11" t="s">
        <v>737</v>
      </c>
      <c r="DJ97" s="11" t="str">
        <f t="shared" si="3"/>
        <v>MICHAEL LEWIS</v>
      </c>
      <c r="DK97" s="16" t="s">
        <v>604</v>
      </c>
      <c r="DL97" s="16" t="s">
        <v>857</v>
      </c>
      <c r="DM97" s="16">
        <v>6211111</v>
      </c>
    </row>
    <row r="98" spans="1:117" x14ac:dyDescent="0.25">
      <c r="A98" s="11" t="str">
        <f t="shared" si="2"/>
        <v>MICHAEL MARTINEZ - UNIT WILAYAH UTARA</v>
      </c>
      <c r="B98" s="12">
        <v>11111390</v>
      </c>
      <c r="C98" s="12" t="s">
        <v>541</v>
      </c>
      <c r="D98" s="13" t="s">
        <v>163</v>
      </c>
      <c r="E98" t="s">
        <v>116</v>
      </c>
      <c r="F98" t="s">
        <v>351</v>
      </c>
      <c r="G98" t="s">
        <v>352</v>
      </c>
      <c r="H98" t="s">
        <v>355</v>
      </c>
      <c r="I98" t="s">
        <v>370</v>
      </c>
      <c r="J98" t="s">
        <v>423</v>
      </c>
      <c r="K98" t="s">
        <v>117</v>
      </c>
      <c r="L98" t="s">
        <v>118</v>
      </c>
      <c r="M98">
        <v>1339250</v>
      </c>
      <c r="N98">
        <v>4454450</v>
      </c>
      <c r="O98">
        <v>0</v>
      </c>
      <c r="P98">
        <v>0</v>
      </c>
      <c r="Q98">
        <v>0</v>
      </c>
      <c r="R98">
        <v>0</v>
      </c>
      <c r="S98">
        <v>1800000</v>
      </c>
      <c r="T98">
        <v>0</v>
      </c>
      <c r="U98">
        <v>1131000</v>
      </c>
      <c r="V98">
        <v>225000</v>
      </c>
      <c r="W98">
        <v>0</v>
      </c>
      <c r="X98">
        <v>750000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1558700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5683656</v>
      </c>
      <c r="BJ98">
        <v>10000</v>
      </c>
      <c r="BK98">
        <v>0</v>
      </c>
      <c r="BL98">
        <v>0</v>
      </c>
      <c r="BM98">
        <v>20000</v>
      </c>
      <c r="BN98">
        <v>1000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5917461</v>
      </c>
      <c r="CM98">
        <v>154100</v>
      </c>
      <c r="CN98">
        <v>77050</v>
      </c>
      <c r="CO98">
        <v>77050</v>
      </c>
      <c r="CP98">
        <v>0</v>
      </c>
      <c r="CQ98">
        <v>0</v>
      </c>
      <c r="CR98">
        <v>0</v>
      </c>
      <c r="CS98">
        <v>0</v>
      </c>
      <c r="CT98">
        <v>269675</v>
      </c>
      <c r="CU98">
        <v>0</v>
      </c>
      <c r="CV98">
        <v>23115</v>
      </c>
      <c r="CW98">
        <v>68575</v>
      </c>
      <c r="CX98">
        <v>285085</v>
      </c>
      <c r="CY98">
        <v>154100</v>
      </c>
      <c r="CZ98">
        <v>308200</v>
      </c>
      <c r="DA98">
        <v>0</v>
      </c>
      <c r="DB98">
        <v>0</v>
      </c>
      <c r="DC98">
        <v>0</v>
      </c>
      <c r="DD98">
        <v>0</v>
      </c>
      <c r="DE98">
        <v>577875</v>
      </c>
      <c r="DF98">
        <v>0</v>
      </c>
      <c r="DG98">
        <v>0</v>
      </c>
      <c r="DH98" s="14">
        <v>10415720</v>
      </c>
      <c r="DI98" s="15" t="s">
        <v>680</v>
      </c>
      <c r="DJ98" s="11" t="str">
        <f t="shared" si="3"/>
        <v>MICHAEL MARTINEZ</v>
      </c>
      <c r="DK98" s="16" t="s">
        <v>604</v>
      </c>
      <c r="DL98" s="17" t="s">
        <v>857</v>
      </c>
      <c r="DM98" s="16">
        <v>6211111</v>
      </c>
    </row>
    <row r="99" spans="1:117" x14ac:dyDescent="0.25">
      <c r="A99" s="11" t="str">
        <f t="shared" si="2"/>
        <v>PATRICIA RIVERA - UNIT WILAYAH UTARA</v>
      </c>
      <c r="B99" s="12">
        <v>11101013</v>
      </c>
      <c r="C99" s="12" t="s">
        <v>555</v>
      </c>
      <c r="D99" s="13" t="s">
        <v>253</v>
      </c>
      <c r="E99" t="s">
        <v>116</v>
      </c>
      <c r="F99" t="s">
        <v>351</v>
      </c>
      <c r="G99" t="s">
        <v>352</v>
      </c>
      <c r="H99" t="s">
        <v>357</v>
      </c>
      <c r="I99" t="s">
        <v>370</v>
      </c>
      <c r="J99" t="s">
        <v>423</v>
      </c>
      <c r="K99" t="s">
        <v>117</v>
      </c>
      <c r="L99" t="s">
        <v>118</v>
      </c>
      <c r="M99">
        <v>3367150</v>
      </c>
      <c r="N99">
        <v>8667500</v>
      </c>
      <c r="O99">
        <v>0</v>
      </c>
      <c r="P99">
        <v>0</v>
      </c>
      <c r="Q99">
        <v>0</v>
      </c>
      <c r="R99">
        <v>0</v>
      </c>
      <c r="S99">
        <v>1300000</v>
      </c>
      <c r="T99">
        <v>0</v>
      </c>
      <c r="U99">
        <v>1486000</v>
      </c>
      <c r="V99">
        <v>200000</v>
      </c>
      <c r="W99">
        <v>0</v>
      </c>
      <c r="X99">
        <v>500000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556600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1647130</v>
      </c>
      <c r="BJ99">
        <v>0</v>
      </c>
      <c r="BK99">
        <v>0</v>
      </c>
      <c r="BL99">
        <v>100000</v>
      </c>
      <c r="BM99">
        <v>20000</v>
      </c>
      <c r="BN99">
        <v>1000</v>
      </c>
      <c r="BO99">
        <v>0</v>
      </c>
      <c r="BP99">
        <v>0</v>
      </c>
      <c r="BQ99">
        <v>126500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1691658</v>
      </c>
      <c r="CM99">
        <v>247640</v>
      </c>
      <c r="CN99">
        <v>120000</v>
      </c>
      <c r="CO99">
        <v>89397</v>
      </c>
      <c r="CP99">
        <v>0</v>
      </c>
      <c r="CQ99">
        <v>51800</v>
      </c>
      <c r="CR99">
        <v>0</v>
      </c>
      <c r="CS99">
        <v>168350</v>
      </c>
      <c r="CT99">
        <v>0</v>
      </c>
      <c r="CU99">
        <v>0</v>
      </c>
      <c r="CV99">
        <v>37146</v>
      </c>
      <c r="CW99">
        <v>110200</v>
      </c>
      <c r="CX99">
        <v>458134</v>
      </c>
      <c r="CY99">
        <v>178794</v>
      </c>
      <c r="CZ99">
        <v>480000</v>
      </c>
      <c r="DA99">
        <v>0</v>
      </c>
      <c r="DB99">
        <v>103600</v>
      </c>
      <c r="DC99">
        <v>176120</v>
      </c>
      <c r="DD99">
        <v>0</v>
      </c>
      <c r="DE99">
        <v>0</v>
      </c>
      <c r="DF99">
        <v>0</v>
      </c>
      <c r="DG99">
        <v>0</v>
      </c>
      <c r="DH99" s="14">
        <v>15108035</v>
      </c>
      <c r="DI99" s="15" t="s">
        <v>775</v>
      </c>
      <c r="DJ99" s="11" t="str">
        <f t="shared" si="3"/>
        <v>PATRICIA RIVERA</v>
      </c>
      <c r="DK99" s="16" t="s">
        <v>604</v>
      </c>
      <c r="DL99" s="17" t="s">
        <v>863</v>
      </c>
      <c r="DM99" s="16">
        <v>6211111</v>
      </c>
    </row>
    <row r="100" spans="1:117" x14ac:dyDescent="0.25">
      <c r="A100" s="11" t="str">
        <f t="shared" si="2"/>
        <v>STEVEN FLORES - UNIT WILAYAH UTARA</v>
      </c>
      <c r="B100" s="12">
        <v>11101268</v>
      </c>
      <c r="C100" s="12" t="s">
        <v>563</v>
      </c>
      <c r="D100" s="13" t="s">
        <v>293</v>
      </c>
      <c r="E100" t="s">
        <v>116</v>
      </c>
      <c r="F100" t="s">
        <v>351</v>
      </c>
      <c r="G100" t="s">
        <v>352</v>
      </c>
      <c r="H100" t="s">
        <v>355</v>
      </c>
      <c r="I100" t="s">
        <v>370</v>
      </c>
      <c r="J100" t="s">
        <v>423</v>
      </c>
      <c r="K100" t="s">
        <v>117</v>
      </c>
      <c r="L100" t="s">
        <v>118</v>
      </c>
      <c r="M100">
        <v>4960000</v>
      </c>
      <c r="N100">
        <v>19427000</v>
      </c>
      <c r="O100">
        <v>0</v>
      </c>
      <c r="P100">
        <v>0</v>
      </c>
      <c r="Q100">
        <v>0</v>
      </c>
      <c r="R100">
        <v>0</v>
      </c>
      <c r="S100">
        <v>3275000</v>
      </c>
      <c r="T100">
        <v>0</v>
      </c>
      <c r="U100">
        <v>1032000</v>
      </c>
      <c r="V100">
        <v>250000</v>
      </c>
      <c r="W100">
        <v>0</v>
      </c>
      <c r="X100">
        <v>1625000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3500000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40444427</v>
      </c>
      <c r="BJ100">
        <v>10000</v>
      </c>
      <c r="BK100">
        <v>0</v>
      </c>
      <c r="BL100">
        <v>0</v>
      </c>
      <c r="BM100">
        <v>20000</v>
      </c>
      <c r="BN100">
        <v>1000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40444427</v>
      </c>
      <c r="CM100">
        <v>479100</v>
      </c>
      <c r="CN100">
        <v>120000</v>
      </c>
      <c r="CO100">
        <v>89397</v>
      </c>
      <c r="CP100">
        <v>0</v>
      </c>
      <c r="CQ100">
        <v>76520</v>
      </c>
      <c r="CR100">
        <v>0</v>
      </c>
      <c r="CS100">
        <v>248690</v>
      </c>
      <c r="CT100">
        <v>0</v>
      </c>
      <c r="CU100">
        <v>0</v>
      </c>
      <c r="CV100">
        <v>71865</v>
      </c>
      <c r="CW100">
        <v>213200</v>
      </c>
      <c r="CX100">
        <v>886335</v>
      </c>
      <c r="CY100">
        <v>178794</v>
      </c>
      <c r="CZ100">
        <v>480000</v>
      </c>
      <c r="DA100">
        <v>0</v>
      </c>
      <c r="DB100">
        <v>153040</v>
      </c>
      <c r="DC100">
        <v>260168</v>
      </c>
      <c r="DD100">
        <v>0</v>
      </c>
      <c r="DE100">
        <v>0</v>
      </c>
      <c r="DF100">
        <v>0</v>
      </c>
      <c r="DG100">
        <v>0</v>
      </c>
      <c r="DH100" s="14">
        <v>33024293</v>
      </c>
      <c r="DI100" s="15" t="s">
        <v>783</v>
      </c>
      <c r="DJ100" s="11" t="str">
        <f t="shared" si="3"/>
        <v>STEVEN FLORES</v>
      </c>
      <c r="DK100" s="16" t="s">
        <v>604</v>
      </c>
      <c r="DL100" s="17" t="s">
        <v>848</v>
      </c>
      <c r="DM100" s="16">
        <v>6211111</v>
      </c>
    </row>
    <row r="101" spans="1:117" x14ac:dyDescent="0.25">
      <c r="A101" s="11" t="str">
        <f t="shared" si="2"/>
        <v>SUSAN MOORE - UNIT WILAYAH UTARA</v>
      </c>
      <c r="B101" s="12">
        <v>11101111</v>
      </c>
      <c r="C101" s="12" t="s">
        <v>558</v>
      </c>
      <c r="D101" s="13" t="s">
        <v>333</v>
      </c>
      <c r="E101" t="s">
        <v>116</v>
      </c>
      <c r="F101" t="s">
        <v>351</v>
      </c>
      <c r="G101" t="s">
        <v>352</v>
      </c>
      <c r="H101" t="s">
        <v>358</v>
      </c>
      <c r="I101" t="s">
        <v>370</v>
      </c>
      <c r="J101" t="s">
        <v>423</v>
      </c>
      <c r="K101" t="s">
        <v>117</v>
      </c>
      <c r="L101" t="s">
        <v>118</v>
      </c>
      <c r="M101">
        <v>3292300</v>
      </c>
      <c r="N101">
        <v>8813500</v>
      </c>
      <c r="O101">
        <v>0</v>
      </c>
      <c r="P101">
        <v>0</v>
      </c>
      <c r="Q101">
        <v>0</v>
      </c>
      <c r="R101">
        <v>0</v>
      </c>
      <c r="S101">
        <v>1300000</v>
      </c>
      <c r="T101">
        <v>0</v>
      </c>
      <c r="U101">
        <v>1486000</v>
      </c>
      <c r="V101">
        <v>200000</v>
      </c>
      <c r="W101">
        <v>0</v>
      </c>
      <c r="X101">
        <v>500000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556600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1653378</v>
      </c>
      <c r="BJ101">
        <v>0</v>
      </c>
      <c r="BK101">
        <v>0</v>
      </c>
      <c r="BL101">
        <v>100000</v>
      </c>
      <c r="BM101">
        <v>20000</v>
      </c>
      <c r="BN101">
        <v>1000</v>
      </c>
      <c r="BO101">
        <v>0</v>
      </c>
      <c r="BP101">
        <v>0</v>
      </c>
      <c r="BQ101">
        <v>2349500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1697906</v>
      </c>
      <c r="CM101">
        <v>248820</v>
      </c>
      <c r="CN101">
        <v>120000</v>
      </c>
      <c r="CO101">
        <v>89397</v>
      </c>
      <c r="CP101">
        <v>0</v>
      </c>
      <c r="CQ101">
        <v>50600</v>
      </c>
      <c r="CR101">
        <v>0</v>
      </c>
      <c r="CS101">
        <v>164450</v>
      </c>
      <c r="CT101">
        <v>0</v>
      </c>
      <c r="CU101">
        <v>0</v>
      </c>
      <c r="CV101">
        <v>37323</v>
      </c>
      <c r="CW101">
        <v>110725</v>
      </c>
      <c r="CX101">
        <v>460317</v>
      </c>
      <c r="CY101">
        <v>178794</v>
      </c>
      <c r="CZ101">
        <v>480000</v>
      </c>
      <c r="DA101">
        <v>0</v>
      </c>
      <c r="DB101">
        <v>101200</v>
      </c>
      <c r="DC101">
        <v>172040</v>
      </c>
      <c r="DD101">
        <v>0</v>
      </c>
      <c r="DE101">
        <v>0</v>
      </c>
      <c r="DF101">
        <v>0</v>
      </c>
      <c r="DG101">
        <v>0</v>
      </c>
      <c r="DH101" s="14">
        <v>12960105</v>
      </c>
      <c r="DI101" s="15" t="s">
        <v>778</v>
      </c>
      <c r="DJ101" s="11" t="str">
        <f t="shared" si="3"/>
        <v>SUSAN MOORE</v>
      </c>
      <c r="DK101" s="16" t="s">
        <v>604</v>
      </c>
      <c r="DL101" s="17" t="s">
        <v>833</v>
      </c>
      <c r="DM101" s="16">
        <v>6211111</v>
      </c>
    </row>
    <row r="102" spans="1:117" x14ac:dyDescent="0.25">
      <c r="A102" s="11" t="str">
        <f t="shared" si="2"/>
        <v>DEBORAH GONZALEZ - UNIT WILAYAH UTARA</v>
      </c>
      <c r="B102" s="12">
        <v>11101423</v>
      </c>
      <c r="C102" s="12" t="s">
        <v>572</v>
      </c>
      <c r="D102" s="13" t="s">
        <v>152</v>
      </c>
      <c r="E102" t="s">
        <v>116</v>
      </c>
      <c r="F102" t="s">
        <v>351</v>
      </c>
      <c r="G102" t="s">
        <v>352</v>
      </c>
      <c r="H102" t="s">
        <v>355</v>
      </c>
      <c r="I102" t="s">
        <v>366</v>
      </c>
      <c r="J102" t="s">
        <v>424</v>
      </c>
      <c r="K102" t="s">
        <v>117</v>
      </c>
      <c r="L102" t="s">
        <v>118</v>
      </c>
      <c r="M102">
        <v>2100000</v>
      </c>
      <c r="N102">
        <v>6279000</v>
      </c>
      <c r="O102">
        <v>0</v>
      </c>
      <c r="P102">
        <v>0</v>
      </c>
      <c r="Q102">
        <v>0</v>
      </c>
      <c r="R102">
        <v>0</v>
      </c>
      <c r="S102">
        <v>1200000</v>
      </c>
      <c r="T102">
        <v>0</v>
      </c>
      <c r="U102">
        <v>1486000</v>
      </c>
      <c r="V102">
        <v>200000</v>
      </c>
      <c r="W102">
        <v>0</v>
      </c>
      <c r="X102">
        <v>400000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610100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954177</v>
      </c>
      <c r="BJ102">
        <v>10000</v>
      </c>
      <c r="BK102">
        <v>0</v>
      </c>
      <c r="BL102">
        <v>100000</v>
      </c>
      <c r="BM102">
        <v>20000</v>
      </c>
      <c r="BN102">
        <v>1000</v>
      </c>
      <c r="BO102">
        <v>0</v>
      </c>
      <c r="BP102">
        <v>0</v>
      </c>
      <c r="BQ102">
        <v>1201500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1155914</v>
      </c>
      <c r="CM102">
        <v>184520</v>
      </c>
      <c r="CN102">
        <v>92260</v>
      </c>
      <c r="CO102">
        <v>89397</v>
      </c>
      <c r="CP102">
        <v>0</v>
      </c>
      <c r="CQ102">
        <v>30800</v>
      </c>
      <c r="CR102">
        <v>0</v>
      </c>
      <c r="CS102">
        <v>100100</v>
      </c>
      <c r="CT102">
        <v>0</v>
      </c>
      <c r="CU102">
        <v>0</v>
      </c>
      <c r="CV102">
        <v>27678</v>
      </c>
      <c r="CW102">
        <v>82111</v>
      </c>
      <c r="CX102">
        <v>341362</v>
      </c>
      <c r="CY102">
        <v>178794</v>
      </c>
      <c r="CZ102">
        <v>369040</v>
      </c>
      <c r="DA102">
        <v>0</v>
      </c>
      <c r="DB102">
        <v>61600</v>
      </c>
      <c r="DC102">
        <v>104720</v>
      </c>
      <c r="DD102">
        <v>0</v>
      </c>
      <c r="DE102">
        <v>0</v>
      </c>
      <c r="DF102">
        <v>0</v>
      </c>
      <c r="DG102">
        <v>0</v>
      </c>
      <c r="DH102" s="14">
        <v>10243786</v>
      </c>
      <c r="DI102" s="15" t="s">
        <v>792</v>
      </c>
      <c r="DJ102" s="11" t="str">
        <f t="shared" si="3"/>
        <v>DEBORAH GONZALEZ</v>
      </c>
      <c r="DK102" s="16" t="s">
        <v>604</v>
      </c>
      <c r="DL102" s="17" t="s">
        <v>841</v>
      </c>
      <c r="DM102" s="16">
        <v>6211111</v>
      </c>
    </row>
    <row r="103" spans="1:117" x14ac:dyDescent="0.25">
      <c r="A103" s="11" t="str">
        <f t="shared" si="2"/>
        <v>GEORGE HALL - UNIT WILAYAH UTARA</v>
      </c>
      <c r="B103" s="12">
        <v>11250113111103</v>
      </c>
      <c r="C103" s="12">
        <v>11250113111103</v>
      </c>
      <c r="D103" s="13" t="s">
        <v>266</v>
      </c>
      <c r="E103" t="s">
        <v>122</v>
      </c>
      <c r="F103" t="s">
        <v>351</v>
      </c>
      <c r="G103" t="s">
        <v>352</v>
      </c>
      <c r="H103" t="s">
        <v>356</v>
      </c>
      <c r="I103" t="s">
        <v>366</v>
      </c>
      <c r="J103" t="s">
        <v>424</v>
      </c>
      <c r="K103">
        <v>0</v>
      </c>
      <c r="L103" t="s">
        <v>123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3000000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 s="14">
        <v>3000000</v>
      </c>
      <c r="DI103" s="11" t="s">
        <v>648</v>
      </c>
      <c r="DJ103" s="11" t="str">
        <f t="shared" si="3"/>
        <v>GEORGE HALL</v>
      </c>
      <c r="DK103" s="16" t="s">
        <v>604</v>
      </c>
      <c r="DL103" s="16" t="s">
        <v>851</v>
      </c>
      <c r="DM103" s="16">
        <v>6211111</v>
      </c>
    </row>
    <row r="104" spans="1:117" x14ac:dyDescent="0.25">
      <c r="A104" s="11" t="str">
        <f t="shared" si="2"/>
        <v>GEORGE THOMPSON - UNIT WILAYAH UTARA</v>
      </c>
      <c r="B104" s="12">
        <v>11100876</v>
      </c>
      <c r="C104" s="12" t="s">
        <v>550</v>
      </c>
      <c r="D104" s="13" t="s">
        <v>216</v>
      </c>
      <c r="E104" t="s">
        <v>116</v>
      </c>
      <c r="F104" t="s">
        <v>351</v>
      </c>
      <c r="G104" t="s">
        <v>352</v>
      </c>
      <c r="H104" t="s">
        <v>355</v>
      </c>
      <c r="I104" t="s">
        <v>366</v>
      </c>
      <c r="J104" t="s">
        <v>424</v>
      </c>
      <c r="K104" t="s">
        <v>117</v>
      </c>
      <c r="L104" t="s">
        <v>118</v>
      </c>
      <c r="M104">
        <v>3057000</v>
      </c>
      <c r="N104">
        <v>8889750</v>
      </c>
      <c r="O104">
        <v>0</v>
      </c>
      <c r="P104">
        <v>0</v>
      </c>
      <c r="Q104">
        <v>0</v>
      </c>
      <c r="R104">
        <v>0</v>
      </c>
      <c r="S104">
        <v>1300000</v>
      </c>
      <c r="T104">
        <v>0</v>
      </c>
      <c r="U104">
        <v>1486000</v>
      </c>
      <c r="V104">
        <v>200000</v>
      </c>
      <c r="W104">
        <v>0</v>
      </c>
      <c r="X104">
        <v>500000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559200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1854826</v>
      </c>
      <c r="BJ104">
        <v>10000</v>
      </c>
      <c r="BK104">
        <v>0</v>
      </c>
      <c r="BL104">
        <v>100000</v>
      </c>
      <c r="BM104">
        <v>20000</v>
      </c>
      <c r="BN104">
        <v>1000</v>
      </c>
      <c r="BO104">
        <v>0</v>
      </c>
      <c r="BP104">
        <v>0</v>
      </c>
      <c r="BQ104">
        <v>101500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1905154</v>
      </c>
      <c r="CM104">
        <v>248080</v>
      </c>
      <c r="CN104">
        <v>120000</v>
      </c>
      <c r="CO104">
        <v>89397</v>
      </c>
      <c r="CP104">
        <v>0</v>
      </c>
      <c r="CQ104">
        <v>47400</v>
      </c>
      <c r="CR104">
        <v>0</v>
      </c>
      <c r="CS104">
        <v>154050</v>
      </c>
      <c r="CT104">
        <v>0</v>
      </c>
      <c r="CU104">
        <v>0</v>
      </c>
      <c r="CV104">
        <v>37212</v>
      </c>
      <c r="CW104">
        <v>110396</v>
      </c>
      <c r="CX104">
        <v>458948</v>
      </c>
      <c r="CY104">
        <v>178794</v>
      </c>
      <c r="CZ104">
        <v>480000</v>
      </c>
      <c r="DA104">
        <v>0</v>
      </c>
      <c r="DB104">
        <v>94800</v>
      </c>
      <c r="DC104">
        <v>161160</v>
      </c>
      <c r="DD104">
        <v>0</v>
      </c>
      <c r="DE104">
        <v>0</v>
      </c>
      <c r="DF104">
        <v>0</v>
      </c>
      <c r="DG104">
        <v>0</v>
      </c>
      <c r="DH104" s="14">
        <v>15050195</v>
      </c>
      <c r="DI104" s="15" t="s">
        <v>770</v>
      </c>
      <c r="DJ104" s="11" t="str">
        <f t="shared" si="3"/>
        <v>GEORGE THOMPSON</v>
      </c>
      <c r="DK104" s="16" t="s">
        <v>604</v>
      </c>
      <c r="DL104" s="17" t="s">
        <v>851</v>
      </c>
      <c r="DM104" s="16">
        <v>6211111</v>
      </c>
    </row>
    <row r="105" spans="1:117" x14ac:dyDescent="0.25">
      <c r="A105" s="11" t="str">
        <f t="shared" si="2"/>
        <v>GEORGE WHITE - UNIT WILAYAH UTARA</v>
      </c>
      <c r="B105" s="12">
        <v>11104156</v>
      </c>
      <c r="C105" s="12" t="s">
        <v>488</v>
      </c>
      <c r="D105" s="13" t="s">
        <v>180</v>
      </c>
      <c r="E105" t="s">
        <v>116</v>
      </c>
      <c r="F105" t="s">
        <v>351</v>
      </c>
      <c r="G105" t="s">
        <v>352</v>
      </c>
      <c r="H105" t="s">
        <v>355</v>
      </c>
      <c r="I105" t="s">
        <v>366</v>
      </c>
      <c r="J105" t="s">
        <v>424</v>
      </c>
      <c r="K105" t="s">
        <v>117</v>
      </c>
      <c r="L105" t="s">
        <v>118</v>
      </c>
      <c r="M105">
        <v>942000</v>
      </c>
      <c r="N105">
        <v>2729000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650000</v>
      </c>
      <c r="U105">
        <v>1613000</v>
      </c>
      <c r="V105">
        <v>175000</v>
      </c>
      <c r="W105">
        <v>0</v>
      </c>
      <c r="X105">
        <v>150000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457600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63865</v>
      </c>
      <c r="BJ105">
        <v>0</v>
      </c>
      <c r="BK105">
        <v>0</v>
      </c>
      <c r="BL105">
        <v>100000</v>
      </c>
      <c r="BM105">
        <v>20000</v>
      </c>
      <c r="BN105">
        <v>1000</v>
      </c>
      <c r="BO105">
        <v>0</v>
      </c>
      <c r="BP105">
        <v>0</v>
      </c>
      <c r="BQ105">
        <v>1589000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85552</v>
      </c>
      <c r="CM105">
        <v>107060</v>
      </c>
      <c r="CN105">
        <v>53530</v>
      </c>
      <c r="CO105">
        <v>53530</v>
      </c>
      <c r="CP105">
        <v>0</v>
      </c>
      <c r="CQ105">
        <v>0</v>
      </c>
      <c r="CR105">
        <v>0</v>
      </c>
      <c r="CS105">
        <v>0</v>
      </c>
      <c r="CT105">
        <v>187355</v>
      </c>
      <c r="CU105">
        <v>0</v>
      </c>
      <c r="CV105">
        <v>16059</v>
      </c>
      <c r="CW105">
        <v>47642</v>
      </c>
      <c r="CX105">
        <v>198061</v>
      </c>
      <c r="CY105">
        <v>107060</v>
      </c>
      <c r="CZ105">
        <v>214120</v>
      </c>
      <c r="DA105">
        <v>0</v>
      </c>
      <c r="DB105">
        <v>0</v>
      </c>
      <c r="DC105">
        <v>0</v>
      </c>
      <c r="DD105">
        <v>0</v>
      </c>
      <c r="DE105">
        <v>401475</v>
      </c>
      <c r="DF105">
        <v>0</v>
      </c>
      <c r="DG105">
        <v>0</v>
      </c>
      <c r="DH105" s="14">
        <v>4583438</v>
      </c>
      <c r="DI105" s="15" t="s">
        <v>698</v>
      </c>
      <c r="DJ105" s="11" t="str">
        <f t="shared" si="3"/>
        <v>GEORGE WHITE</v>
      </c>
      <c r="DK105" s="16" t="s">
        <v>604</v>
      </c>
      <c r="DL105" s="17" t="s">
        <v>851</v>
      </c>
      <c r="DM105" s="16">
        <v>6211111</v>
      </c>
    </row>
    <row r="106" spans="1:117" x14ac:dyDescent="0.25">
      <c r="A106" s="11" t="str">
        <f t="shared" si="2"/>
        <v>JENNIFER RAMIREZ - UNIT WILAYAH UTARA</v>
      </c>
      <c r="B106" s="12">
        <v>11101801</v>
      </c>
      <c r="C106" s="12" t="s">
        <v>585</v>
      </c>
      <c r="D106" s="13" t="s">
        <v>151</v>
      </c>
      <c r="E106" t="s">
        <v>116</v>
      </c>
      <c r="F106" t="s">
        <v>351</v>
      </c>
      <c r="G106" t="s">
        <v>352</v>
      </c>
      <c r="H106" t="s">
        <v>355</v>
      </c>
      <c r="I106" t="s">
        <v>366</v>
      </c>
      <c r="J106" t="s">
        <v>424</v>
      </c>
      <c r="K106" t="s">
        <v>117</v>
      </c>
      <c r="L106" t="s">
        <v>118</v>
      </c>
      <c r="M106">
        <v>901000</v>
      </c>
      <c r="N106">
        <v>2560000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650000</v>
      </c>
      <c r="U106">
        <v>1613000</v>
      </c>
      <c r="V106">
        <v>175000</v>
      </c>
      <c r="W106">
        <v>0</v>
      </c>
      <c r="X106">
        <v>100000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305100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45797</v>
      </c>
      <c r="BJ106">
        <v>82144</v>
      </c>
      <c r="BK106">
        <v>0</v>
      </c>
      <c r="BL106">
        <v>100000</v>
      </c>
      <c r="BM106">
        <v>20000</v>
      </c>
      <c r="BN106">
        <v>1000</v>
      </c>
      <c r="BO106">
        <v>0</v>
      </c>
      <c r="BP106">
        <v>0</v>
      </c>
      <c r="BQ106">
        <v>154000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64114</v>
      </c>
      <c r="CM106">
        <v>103460</v>
      </c>
      <c r="CN106">
        <v>51730</v>
      </c>
      <c r="CO106">
        <v>51730</v>
      </c>
      <c r="CP106">
        <v>0</v>
      </c>
      <c r="CQ106">
        <v>0</v>
      </c>
      <c r="CR106">
        <v>0</v>
      </c>
      <c r="CS106">
        <v>0</v>
      </c>
      <c r="CT106">
        <v>181055</v>
      </c>
      <c r="CU106">
        <v>0</v>
      </c>
      <c r="CV106">
        <v>15519</v>
      </c>
      <c r="CW106">
        <v>46040</v>
      </c>
      <c r="CX106">
        <v>191401</v>
      </c>
      <c r="CY106">
        <v>103460</v>
      </c>
      <c r="CZ106">
        <v>206920</v>
      </c>
      <c r="DA106">
        <v>0</v>
      </c>
      <c r="DB106">
        <v>0</v>
      </c>
      <c r="DC106">
        <v>0</v>
      </c>
      <c r="DD106">
        <v>0</v>
      </c>
      <c r="DE106">
        <v>387975</v>
      </c>
      <c r="DF106">
        <v>0</v>
      </c>
      <c r="DG106">
        <v>0</v>
      </c>
      <c r="DH106" s="14">
        <v>5540664</v>
      </c>
      <c r="DI106" s="15" t="s">
        <v>805</v>
      </c>
      <c r="DJ106" s="11" t="str">
        <f t="shared" si="3"/>
        <v>JENNIFER RAMIREZ</v>
      </c>
      <c r="DK106" s="16" t="s">
        <v>604</v>
      </c>
      <c r="DL106" s="17" t="s">
        <v>844</v>
      </c>
      <c r="DM106" s="16">
        <v>6211111</v>
      </c>
    </row>
    <row r="107" spans="1:117" x14ac:dyDescent="0.25">
      <c r="A107" s="11" t="str">
        <f t="shared" si="2"/>
        <v>KIMBERLY CARTER - UNIT WILAYAH UTARA</v>
      </c>
      <c r="B107" s="12">
        <v>111123110071</v>
      </c>
      <c r="C107" s="12">
        <v>111123110071</v>
      </c>
      <c r="D107" s="13" t="s">
        <v>331</v>
      </c>
      <c r="E107" t="s">
        <v>122</v>
      </c>
      <c r="F107" t="s">
        <v>351</v>
      </c>
      <c r="G107" t="s">
        <v>352</v>
      </c>
      <c r="H107" t="s">
        <v>356</v>
      </c>
      <c r="I107" t="s">
        <v>366</v>
      </c>
      <c r="J107" t="s">
        <v>424</v>
      </c>
      <c r="K107">
        <v>0</v>
      </c>
      <c r="L107" t="s">
        <v>123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3650000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457600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73000</v>
      </c>
      <c r="CN107">
        <v>36500</v>
      </c>
      <c r="CO107">
        <v>36500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 s="14">
        <v>3961600</v>
      </c>
      <c r="DI107" s="11" t="s">
        <v>635</v>
      </c>
      <c r="DJ107" s="11" t="str">
        <f t="shared" si="3"/>
        <v>KIMBERLY CARTER</v>
      </c>
      <c r="DK107" s="16" t="s">
        <v>604</v>
      </c>
      <c r="DL107" s="16" t="s">
        <v>843</v>
      </c>
      <c r="DM107" s="16">
        <v>6211111</v>
      </c>
    </row>
    <row r="108" spans="1:117" x14ac:dyDescent="0.25">
      <c r="A108" s="11" t="str">
        <f t="shared" si="2"/>
        <v>LISA FLORES - UNIT WILAYAH UTARA</v>
      </c>
      <c r="B108" s="12">
        <v>111123050168</v>
      </c>
      <c r="C108" s="12">
        <v>111123050168</v>
      </c>
      <c r="D108" s="13" t="s">
        <v>242</v>
      </c>
      <c r="E108" t="s">
        <v>122</v>
      </c>
      <c r="F108" t="s">
        <v>351</v>
      </c>
      <c r="G108" t="s">
        <v>352</v>
      </c>
      <c r="H108" t="s">
        <v>356</v>
      </c>
      <c r="I108" t="s">
        <v>366</v>
      </c>
      <c r="J108" t="s">
        <v>424</v>
      </c>
      <c r="K108">
        <v>0</v>
      </c>
      <c r="L108" t="s">
        <v>123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3650000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457600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30477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73000</v>
      </c>
      <c r="CN108">
        <v>36500</v>
      </c>
      <c r="CO108">
        <v>36500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 s="14">
        <v>3931123</v>
      </c>
      <c r="DI108" s="11" t="s">
        <v>624</v>
      </c>
      <c r="DJ108" s="11" t="str">
        <f t="shared" si="3"/>
        <v>LISA FLORES</v>
      </c>
      <c r="DK108" s="16" t="s">
        <v>604</v>
      </c>
      <c r="DL108" s="16" t="s">
        <v>836</v>
      </c>
      <c r="DM108" s="16">
        <v>6211111</v>
      </c>
    </row>
    <row r="109" spans="1:117" x14ac:dyDescent="0.25">
      <c r="A109" s="11" t="str">
        <f t="shared" si="2"/>
        <v>MARGARET YOUNG - UNIT WILAYAH UTARA</v>
      </c>
      <c r="B109" s="12">
        <v>111123010062</v>
      </c>
      <c r="C109" s="12">
        <v>111123010062</v>
      </c>
      <c r="D109" s="13" t="s">
        <v>196</v>
      </c>
      <c r="E109" t="s">
        <v>122</v>
      </c>
      <c r="F109" t="s">
        <v>351</v>
      </c>
      <c r="G109" t="s">
        <v>352</v>
      </c>
      <c r="H109" t="s">
        <v>356</v>
      </c>
      <c r="I109" t="s">
        <v>366</v>
      </c>
      <c r="J109" t="s">
        <v>424</v>
      </c>
      <c r="K109">
        <v>0</v>
      </c>
      <c r="L109" t="s">
        <v>123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4450000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457600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89000</v>
      </c>
      <c r="CN109">
        <v>44500</v>
      </c>
      <c r="CO109">
        <v>44500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 s="14">
        <v>4729600</v>
      </c>
      <c r="DI109" s="11" t="s">
        <v>617</v>
      </c>
      <c r="DJ109" s="11" t="str">
        <f t="shared" si="3"/>
        <v>MARGARET YOUNG</v>
      </c>
      <c r="DK109" s="16" t="s">
        <v>604</v>
      </c>
      <c r="DL109" s="16" t="s">
        <v>822</v>
      </c>
      <c r="DM109" s="16">
        <v>6211111</v>
      </c>
    </row>
    <row r="110" spans="1:117" x14ac:dyDescent="0.25">
      <c r="A110" s="11" t="str">
        <f t="shared" si="2"/>
        <v>MARY HILL - UNIT WILAYAH UTARA</v>
      </c>
      <c r="B110" s="12">
        <v>11113845</v>
      </c>
      <c r="C110" s="12" t="s">
        <v>490</v>
      </c>
      <c r="D110" s="13" t="s">
        <v>238</v>
      </c>
      <c r="E110" t="s">
        <v>116</v>
      </c>
      <c r="F110" t="s">
        <v>351</v>
      </c>
      <c r="G110" t="s">
        <v>352</v>
      </c>
      <c r="H110" t="s">
        <v>355</v>
      </c>
      <c r="I110" t="s">
        <v>366</v>
      </c>
      <c r="J110" t="s">
        <v>424</v>
      </c>
      <c r="K110" t="s">
        <v>119</v>
      </c>
      <c r="L110" t="s">
        <v>120</v>
      </c>
      <c r="M110">
        <v>0</v>
      </c>
      <c r="N110">
        <v>0</v>
      </c>
      <c r="O110">
        <v>0</v>
      </c>
      <c r="P110">
        <v>0</v>
      </c>
      <c r="Q110">
        <v>4961753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457600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172929</v>
      </c>
      <c r="BK110">
        <v>0</v>
      </c>
      <c r="BL110">
        <v>0</v>
      </c>
      <c r="BM110">
        <v>20000</v>
      </c>
      <c r="BN110">
        <v>1000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13695</v>
      </c>
      <c r="CM110">
        <v>99235</v>
      </c>
      <c r="CN110">
        <v>49618</v>
      </c>
      <c r="CO110">
        <v>49618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14885</v>
      </c>
      <c r="CW110">
        <v>44160</v>
      </c>
      <c r="CX110">
        <v>183585</v>
      </c>
      <c r="CY110">
        <v>99235</v>
      </c>
      <c r="CZ110">
        <v>198470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 s="14">
        <v>5013258</v>
      </c>
      <c r="DI110" s="11" t="s">
        <v>710</v>
      </c>
      <c r="DJ110" s="11" t="str">
        <f t="shared" si="3"/>
        <v>MARY HILL</v>
      </c>
      <c r="DK110" s="16" t="s">
        <v>604</v>
      </c>
      <c r="DL110" s="16" t="s">
        <v>862</v>
      </c>
      <c r="DM110" s="16">
        <v>6211111</v>
      </c>
    </row>
    <row r="111" spans="1:117" x14ac:dyDescent="0.25">
      <c r="A111" s="11" t="str">
        <f t="shared" si="2"/>
        <v>MARY JACKSON - UNIT WILAYAH UTARA</v>
      </c>
      <c r="B111" s="12">
        <v>11113874</v>
      </c>
      <c r="C111" s="12" t="s">
        <v>489</v>
      </c>
      <c r="D111" s="13" t="s">
        <v>186</v>
      </c>
      <c r="E111" t="s">
        <v>116</v>
      </c>
      <c r="F111" t="s">
        <v>351</v>
      </c>
      <c r="G111" t="s">
        <v>352</v>
      </c>
      <c r="H111" t="s">
        <v>355</v>
      </c>
      <c r="I111" t="s">
        <v>366</v>
      </c>
      <c r="J111" t="s">
        <v>424</v>
      </c>
      <c r="K111" t="s">
        <v>119</v>
      </c>
      <c r="L111" t="s">
        <v>120</v>
      </c>
      <c r="M111">
        <v>0</v>
      </c>
      <c r="N111">
        <v>0</v>
      </c>
      <c r="O111">
        <v>0</v>
      </c>
      <c r="P111">
        <v>0</v>
      </c>
      <c r="Q111">
        <v>4961753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610100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169000</v>
      </c>
      <c r="BK111">
        <v>0</v>
      </c>
      <c r="BL111">
        <v>0</v>
      </c>
      <c r="BM111">
        <v>20000</v>
      </c>
      <c r="BN111">
        <v>1000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14077</v>
      </c>
      <c r="CM111">
        <v>99235</v>
      </c>
      <c r="CN111">
        <v>49618</v>
      </c>
      <c r="CO111">
        <v>49618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14885</v>
      </c>
      <c r="CW111">
        <v>44160</v>
      </c>
      <c r="CX111">
        <v>183585</v>
      </c>
      <c r="CY111">
        <v>99235</v>
      </c>
      <c r="CZ111">
        <v>198470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 s="14">
        <v>5169305</v>
      </c>
      <c r="DI111" s="11" t="s">
        <v>714</v>
      </c>
      <c r="DJ111" s="11" t="str">
        <f t="shared" si="3"/>
        <v>MARY JACKSON</v>
      </c>
      <c r="DK111" s="16" t="s">
        <v>604</v>
      </c>
      <c r="DL111" s="16" t="s">
        <v>862</v>
      </c>
      <c r="DM111" s="16">
        <v>6211111</v>
      </c>
    </row>
    <row r="112" spans="1:117" x14ac:dyDescent="0.25">
      <c r="A112" s="11" t="str">
        <f t="shared" si="2"/>
        <v>MICHAEL YOUNG - UNIT WILAYAH UTARA</v>
      </c>
      <c r="B112" s="12">
        <v>11101134</v>
      </c>
      <c r="C112" s="12" t="s">
        <v>559</v>
      </c>
      <c r="D112" s="13" t="s">
        <v>164</v>
      </c>
      <c r="E112" t="s">
        <v>116</v>
      </c>
      <c r="F112" t="s">
        <v>351</v>
      </c>
      <c r="G112" t="s">
        <v>352</v>
      </c>
      <c r="H112" t="s">
        <v>355</v>
      </c>
      <c r="I112" t="s">
        <v>366</v>
      </c>
      <c r="J112" t="s">
        <v>424</v>
      </c>
      <c r="K112" t="s">
        <v>117</v>
      </c>
      <c r="L112" t="s">
        <v>118</v>
      </c>
      <c r="M112">
        <v>3512400</v>
      </c>
      <c r="N112">
        <v>16896300</v>
      </c>
      <c r="O112">
        <v>0</v>
      </c>
      <c r="P112">
        <v>0</v>
      </c>
      <c r="Q112">
        <v>0</v>
      </c>
      <c r="R112">
        <v>0</v>
      </c>
      <c r="S112">
        <v>2200000</v>
      </c>
      <c r="T112">
        <v>0</v>
      </c>
      <c r="U112">
        <v>1131000</v>
      </c>
      <c r="V112">
        <v>225000</v>
      </c>
      <c r="W112">
        <v>0</v>
      </c>
      <c r="X112">
        <v>900000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1192200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4809210</v>
      </c>
      <c r="BJ112">
        <v>267832</v>
      </c>
      <c r="BK112">
        <v>0</v>
      </c>
      <c r="BL112">
        <v>100000</v>
      </c>
      <c r="BM112">
        <v>20000</v>
      </c>
      <c r="BN112">
        <v>1000</v>
      </c>
      <c r="BO112">
        <v>0</v>
      </c>
      <c r="BP112">
        <v>0</v>
      </c>
      <c r="BQ112">
        <v>101500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4976118</v>
      </c>
      <c r="CM112">
        <v>394280</v>
      </c>
      <c r="CN112">
        <v>120000</v>
      </c>
      <c r="CO112">
        <v>89397</v>
      </c>
      <c r="CP112">
        <v>0</v>
      </c>
      <c r="CQ112">
        <v>54720</v>
      </c>
      <c r="CR112">
        <v>0</v>
      </c>
      <c r="CS112">
        <v>177840</v>
      </c>
      <c r="CT112">
        <v>0</v>
      </c>
      <c r="CU112">
        <v>0</v>
      </c>
      <c r="CV112">
        <v>59142</v>
      </c>
      <c r="CW112">
        <v>175455</v>
      </c>
      <c r="CX112">
        <v>729418</v>
      </c>
      <c r="CY112">
        <v>178794</v>
      </c>
      <c r="CZ112">
        <v>480000</v>
      </c>
      <c r="DA112">
        <v>0</v>
      </c>
      <c r="DB112">
        <v>109440</v>
      </c>
      <c r="DC112">
        <v>186048</v>
      </c>
      <c r="DD112">
        <v>0</v>
      </c>
      <c r="DE112">
        <v>0</v>
      </c>
      <c r="DF112">
        <v>0</v>
      </c>
      <c r="DG112">
        <v>0</v>
      </c>
      <c r="DH112" s="14">
        <v>24563423</v>
      </c>
      <c r="DI112" s="15" t="s">
        <v>779</v>
      </c>
      <c r="DJ112" s="11" t="str">
        <f t="shared" si="3"/>
        <v>MICHAEL YOUNG</v>
      </c>
      <c r="DK112" s="16" t="s">
        <v>604</v>
      </c>
      <c r="DL112" s="17" t="s">
        <v>857</v>
      </c>
      <c r="DM112" s="16">
        <v>6211111</v>
      </c>
    </row>
    <row r="113" spans="1:117" x14ac:dyDescent="0.25">
      <c r="A113" s="11" t="str">
        <f t="shared" si="2"/>
        <v>PAUL KING - UNIT WILAYAH UTARA</v>
      </c>
      <c r="B113" s="12">
        <v>11116734</v>
      </c>
      <c r="C113" s="12" t="s">
        <v>121</v>
      </c>
      <c r="D113" s="13" t="s">
        <v>161</v>
      </c>
      <c r="E113" t="s">
        <v>116</v>
      </c>
      <c r="F113" t="s">
        <v>351</v>
      </c>
      <c r="G113" t="s">
        <v>352</v>
      </c>
      <c r="H113" t="s">
        <v>355</v>
      </c>
      <c r="I113" t="s">
        <v>366</v>
      </c>
      <c r="J113" t="s">
        <v>424</v>
      </c>
      <c r="K113" t="s">
        <v>119</v>
      </c>
      <c r="L113" t="s">
        <v>120</v>
      </c>
      <c r="M113">
        <v>0</v>
      </c>
      <c r="N113">
        <v>0</v>
      </c>
      <c r="O113">
        <v>0</v>
      </c>
      <c r="P113">
        <v>0</v>
      </c>
      <c r="Q113">
        <v>5000000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610100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179567</v>
      </c>
      <c r="BK113">
        <v>0</v>
      </c>
      <c r="BL113">
        <v>100000</v>
      </c>
      <c r="BM113">
        <v>20000</v>
      </c>
      <c r="BN113">
        <v>1000</v>
      </c>
      <c r="BO113">
        <v>0</v>
      </c>
      <c r="BP113">
        <v>0</v>
      </c>
      <c r="BQ113">
        <v>115500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28348</v>
      </c>
      <c r="CM113">
        <v>100000</v>
      </c>
      <c r="CN113">
        <v>50000</v>
      </c>
      <c r="CO113">
        <v>50000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15000</v>
      </c>
      <c r="CW113">
        <v>44500</v>
      </c>
      <c r="CX113">
        <v>185000</v>
      </c>
      <c r="CY113">
        <v>100000</v>
      </c>
      <c r="CZ113">
        <v>200000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 s="14">
        <v>4965685</v>
      </c>
      <c r="DI113" s="11" t="s">
        <v>658</v>
      </c>
      <c r="DJ113" s="11" t="str">
        <f t="shared" si="3"/>
        <v>PAUL KING</v>
      </c>
      <c r="DK113" s="16" t="s">
        <v>604</v>
      </c>
      <c r="DL113" s="16" t="s">
        <v>820</v>
      </c>
      <c r="DM113" s="16">
        <v>6211111</v>
      </c>
    </row>
    <row r="114" spans="1:117" x14ac:dyDescent="0.25">
      <c r="A114" s="11" t="str">
        <f t="shared" si="2"/>
        <v>ROBERT JONES - UNIT WILAYAH UTARA</v>
      </c>
      <c r="B114" s="12">
        <v>11113877</v>
      </c>
      <c r="C114" s="12" t="s">
        <v>542</v>
      </c>
      <c r="D114" s="13" t="s">
        <v>195</v>
      </c>
      <c r="E114" t="s">
        <v>116</v>
      </c>
      <c r="F114" t="s">
        <v>351</v>
      </c>
      <c r="G114" t="s">
        <v>352</v>
      </c>
      <c r="H114" t="s">
        <v>355</v>
      </c>
      <c r="I114" t="s">
        <v>366</v>
      </c>
      <c r="J114" t="s">
        <v>424</v>
      </c>
      <c r="K114" t="s">
        <v>119</v>
      </c>
      <c r="L114" t="s">
        <v>120</v>
      </c>
      <c r="M114">
        <v>0</v>
      </c>
      <c r="N114">
        <v>0</v>
      </c>
      <c r="O114">
        <v>0</v>
      </c>
      <c r="P114">
        <v>0</v>
      </c>
      <c r="Q114">
        <v>5000000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610100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20000</v>
      </c>
      <c r="BN114">
        <v>1000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28348</v>
      </c>
      <c r="CM114">
        <v>100000</v>
      </c>
      <c r="CN114">
        <v>50000</v>
      </c>
      <c r="CO114">
        <v>50000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15000</v>
      </c>
      <c r="CW114">
        <v>44500</v>
      </c>
      <c r="CX114">
        <v>185000</v>
      </c>
      <c r="CY114">
        <v>100000</v>
      </c>
      <c r="CZ114">
        <v>200000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 s="14">
        <v>5360752</v>
      </c>
      <c r="DI114" s="11" t="s">
        <v>705</v>
      </c>
      <c r="DJ114" s="11" t="str">
        <f t="shared" si="3"/>
        <v>ROBERT JONES</v>
      </c>
      <c r="DK114" s="16" t="s">
        <v>604</v>
      </c>
      <c r="DL114" s="16" t="s">
        <v>823</v>
      </c>
      <c r="DM114" s="16">
        <v>6211111</v>
      </c>
    </row>
    <row r="115" spans="1:117" x14ac:dyDescent="0.25">
      <c r="A115" s="11" t="str">
        <f t="shared" si="2"/>
        <v>SARAH MOORE - UNIT WILAYAH UTARA</v>
      </c>
      <c r="B115" s="12">
        <v>11100857</v>
      </c>
      <c r="C115" s="12" t="s">
        <v>549</v>
      </c>
      <c r="D115" s="13" t="s">
        <v>324</v>
      </c>
      <c r="E115" t="s">
        <v>116</v>
      </c>
      <c r="F115" t="s">
        <v>351</v>
      </c>
      <c r="G115" t="s">
        <v>352</v>
      </c>
      <c r="H115" t="s">
        <v>355</v>
      </c>
      <c r="I115" t="s">
        <v>366</v>
      </c>
      <c r="J115" t="s">
        <v>424</v>
      </c>
      <c r="K115" t="s">
        <v>117</v>
      </c>
      <c r="L115" t="s">
        <v>118</v>
      </c>
      <c r="M115">
        <v>2571000</v>
      </c>
      <c r="N115">
        <v>6021000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650000</v>
      </c>
      <c r="U115">
        <v>1613000</v>
      </c>
      <c r="V115">
        <v>175000</v>
      </c>
      <c r="W115">
        <v>0</v>
      </c>
      <c r="X115">
        <v>100000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305100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468284</v>
      </c>
      <c r="BJ115">
        <v>10000</v>
      </c>
      <c r="BK115">
        <v>0</v>
      </c>
      <c r="BL115">
        <v>100000</v>
      </c>
      <c r="BM115">
        <v>20000</v>
      </c>
      <c r="BN115">
        <v>1000</v>
      </c>
      <c r="BO115">
        <v>0</v>
      </c>
      <c r="BP115">
        <v>0</v>
      </c>
      <c r="BQ115">
        <v>101500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480488</v>
      </c>
      <c r="CM115">
        <v>182920</v>
      </c>
      <c r="CN115">
        <v>91460</v>
      </c>
      <c r="CO115">
        <v>89397</v>
      </c>
      <c r="CP115">
        <v>0</v>
      </c>
      <c r="CQ115">
        <v>39540</v>
      </c>
      <c r="CR115">
        <v>0</v>
      </c>
      <c r="CS115">
        <v>128505</v>
      </c>
      <c r="CT115">
        <v>0</v>
      </c>
      <c r="CU115">
        <v>0</v>
      </c>
      <c r="CV115">
        <v>27438</v>
      </c>
      <c r="CW115">
        <v>81399</v>
      </c>
      <c r="CX115">
        <v>338402</v>
      </c>
      <c r="CY115">
        <v>178794</v>
      </c>
      <c r="CZ115">
        <v>365840</v>
      </c>
      <c r="DA115">
        <v>0</v>
      </c>
      <c r="DB115">
        <v>79080</v>
      </c>
      <c r="DC115">
        <v>134436</v>
      </c>
      <c r="DD115">
        <v>0</v>
      </c>
      <c r="DE115">
        <v>0</v>
      </c>
      <c r="DF115">
        <v>0</v>
      </c>
      <c r="DG115">
        <v>0</v>
      </c>
      <c r="DH115" s="14">
        <v>10658574</v>
      </c>
      <c r="DI115" s="15" t="s">
        <v>769</v>
      </c>
      <c r="DJ115" s="11" t="str">
        <f t="shared" si="3"/>
        <v>SARAH MOORE</v>
      </c>
      <c r="DK115" s="16" t="s">
        <v>604</v>
      </c>
      <c r="DL115" s="17" t="s">
        <v>850</v>
      </c>
      <c r="DM115" s="16">
        <v>6211111</v>
      </c>
    </row>
    <row r="116" spans="1:117" x14ac:dyDescent="0.25">
      <c r="A116" s="11" t="str">
        <f t="shared" si="2"/>
        <v>SUSAN THOMAS - UNIT WILAYAH UTARA</v>
      </c>
      <c r="B116" s="12">
        <v>11104027</v>
      </c>
      <c r="C116" s="12" t="s">
        <v>491</v>
      </c>
      <c r="D116" s="13" t="s">
        <v>306</v>
      </c>
      <c r="E116" t="s">
        <v>116</v>
      </c>
      <c r="F116" t="s">
        <v>351</v>
      </c>
      <c r="G116" t="s">
        <v>352</v>
      </c>
      <c r="H116" t="s">
        <v>355</v>
      </c>
      <c r="I116" t="s">
        <v>366</v>
      </c>
      <c r="J116" t="s">
        <v>424</v>
      </c>
      <c r="K116" t="s">
        <v>117</v>
      </c>
      <c r="L116" t="s">
        <v>118</v>
      </c>
      <c r="M116">
        <v>942000</v>
      </c>
      <c r="N116">
        <v>2729000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650000</v>
      </c>
      <c r="U116">
        <v>1613000</v>
      </c>
      <c r="V116">
        <v>175000</v>
      </c>
      <c r="W116">
        <v>0</v>
      </c>
      <c r="X116">
        <v>150000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63865</v>
      </c>
      <c r="BJ116">
        <v>192491</v>
      </c>
      <c r="BK116">
        <v>0</v>
      </c>
      <c r="BL116">
        <v>100000</v>
      </c>
      <c r="BM116">
        <v>20000</v>
      </c>
      <c r="BN116">
        <v>1000</v>
      </c>
      <c r="BO116">
        <v>0</v>
      </c>
      <c r="BP116">
        <v>0</v>
      </c>
      <c r="BQ116">
        <v>3124000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63865</v>
      </c>
      <c r="CM116">
        <v>107060</v>
      </c>
      <c r="CN116">
        <v>53530</v>
      </c>
      <c r="CO116">
        <v>53530</v>
      </c>
      <c r="CP116">
        <v>0</v>
      </c>
      <c r="CQ116">
        <v>0</v>
      </c>
      <c r="CR116">
        <v>0</v>
      </c>
      <c r="CS116">
        <v>0</v>
      </c>
      <c r="CT116">
        <v>187355</v>
      </c>
      <c r="CU116">
        <v>0</v>
      </c>
      <c r="CV116">
        <v>16059</v>
      </c>
      <c r="CW116">
        <v>47642</v>
      </c>
      <c r="CX116">
        <v>198061</v>
      </c>
      <c r="CY116">
        <v>107060</v>
      </c>
      <c r="CZ116">
        <v>214120</v>
      </c>
      <c r="DA116">
        <v>0</v>
      </c>
      <c r="DB116">
        <v>0</v>
      </c>
      <c r="DC116">
        <v>0</v>
      </c>
      <c r="DD116">
        <v>0</v>
      </c>
      <c r="DE116">
        <v>401475</v>
      </c>
      <c r="DF116">
        <v>0</v>
      </c>
      <c r="DG116">
        <v>0</v>
      </c>
      <c r="DH116" s="14">
        <v>2420034</v>
      </c>
      <c r="DI116" s="15" t="s">
        <v>693</v>
      </c>
      <c r="DJ116" s="11" t="str">
        <f t="shared" si="3"/>
        <v>SUSAN THOMAS</v>
      </c>
      <c r="DK116" s="16" t="s">
        <v>604</v>
      </c>
      <c r="DL116" s="17" t="s">
        <v>833</v>
      </c>
      <c r="DM116" s="16">
        <v>6211111</v>
      </c>
    </row>
    <row r="117" spans="1:117" x14ac:dyDescent="0.25">
      <c r="A117" s="11" t="str">
        <f t="shared" si="2"/>
        <v>EMILY RODRIGUEZ - UNIT WILAYAH UTARA</v>
      </c>
      <c r="B117" s="12">
        <v>11113894</v>
      </c>
      <c r="C117" s="12" t="s">
        <v>492</v>
      </c>
      <c r="D117" s="13" t="s">
        <v>223</v>
      </c>
      <c r="E117" t="s">
        <v>116</v>
      </c>
      <c r="F117" t="s">
        <v>351</v>
      </c>
      <c r="G117" t="s">
        <v>352</v>
      </c>
      <c r="H117" t="s">
        <v>355</v>
      </c>
      <c r="I117" t="s">
        <v>397</v>
      </c>
      <c r="J117" t="s">
        <v>425</v>
      </c>
      <c r="K117" t="s">
        <v>119</v>
      </c>
      <c r="L117" t="s">
        <v>120</v>
      </c>
      <c r="M117">
        <v>0</v>
      </c>
      <c r="N117">
        <v>0</v>
      </c>
      <c r="O117">
        <v>0</v>
      </c>
      <c r="P117">
        <v>0</v>
      </c>
      <c r="Q117">
        <v>4961753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559600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20000</v>
      </c>
      <c r="BN117">
        <v>1000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13950</v>
      </c>
      <c r="CM117">
        <v>99235</v>
      </c>
      <c r="CN117">
        <v>49618</v>
      </c>
      <c r="CO117">
        <v>49618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14885</v>
      </c>
      <c r="CW117">
        <v>44160</v>
      </c>
      <c r="CX117">
        <v>183585</v>
      </c>
      <c r="CY117">
        <v>99235</v>
      </c>
      <c r="CZ117">
        <v>198470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 s="14">
        <v>5287932</v>
      </c>
      <c r="DI117" s="11" t="s">
        <v>725</v>
      </c>
      <c r="DJ117" s="11" t="str">
        <f t="shared" si="3"/>
        <v>EMILY RODRIGUEZ</v>
      </c>
      <c r="DK117" s="16" t="s">
        <v>604</v>
      </c>
      <c r="DL117" s="16" t="s">
        <v>831</v>
      </c>
      <c r="DM117" s="16">
        <v>6211111</v>
      </c>
    </row>
    <row r="118" spans="1:117" x14ac:dyDescent="0.25">
      <c r="A118" s="11" t="str">
        <f t="shared" si="2"/>
        <v>KAREN LEE - UNIT WILAYAH UTARA</v>
      </c>
      <c r="B118" s="12">
        <v>11103137</v>
      </c>
      <c r="C118" s="12" t="s">
        <v>494</v>
      </c>
      <c r="D118" s="13" t="s">
        <v>298</v>
      </c>
      <c r="E118" t="s">
        <v>116</v>
      </c>
      <c r="F118" t="s">
        <v>351</v>
      </c>
      <c r="G118" t="s">
        <v>352</v>
      </c>
      <c r="H118" t="s">
        <v>355</v>
      </c>
      <c r="I118" t="s">
        <v>397</v>
      </c>
      <c r="J118" t="s">
        <v>425</v>
      </c>
      <c r="K118" t="s">
        <v>117</v>
      </c>
      <c r="L118" t="s">
        <v>118</v>
      </c>
      <c r="M118">
        <v>1004150</v>
      </c>
      <c r="N118">
        <v>2876500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650000</v>
      </c>
      <c r="U118">
        <v>1613000</v>
      </c>
      <c r="V118">
        <v>175000</v>
      </c>
      <c r="W118">
        <v>0</v>
      </c>
      <c r="X118">
        <v>150000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419700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66000</v>
      </c>
      <c r="BJ118">
        <v>0</v>
      </c>
      <c r="BK118">
        <v>0</v>
      </c>
      <c r="BL118">
        <v>100000</v>
      </c>
      <c r="BM118">
        <v>20000</v>
      </c>
      <c r="BN118">
        <v>1000</v>
      </c>
      <c r="BO118">
        <v>0</v>
      </c>
      <c r="BP118">
        <v>0</v>
      </c>
      <c r="BQ118">
        <v>101500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87746</v>
      </c>
      <c r="CM118">
        <v>109840</v>
      </c>
      <c r="CN118">
        <v>54920</v>
      </c>
      <c r="CO118">
        <v>54920</v>
      </c>
      <c r="CP118">
        <v>0</v>
      </c>
      <c r="CQ118">
        <v>0</v>
      </c>
      <c r="CR118">
        <v>0</v>
      </c>
      <c r="CS118">
        <v>0</v>
      </c>
      <c r="CT118">
        <v>192220</v>
      </c>
      <c r="CU118">
        <v>0</v>
      </c>
      <c r="CV118">
        <v>16476</v>
      </c>
      <c r="CW118">
        <v>48879</v>
      </c>
      <c r="CX118">
        <v>203204</v>
      </c>
      <c r="CY118">
        <v>109840</v>
      </c>
      <c r="CZ118">
        <v>219680</v>
      </c>
      <c r="DA118">
        <v>0</v>
      </c>
      <c r="DB118">
        <v>0</v>
      </c>
      <c r="DC118">
        <v>0</v>
      </c>
      <c r="DD118">
        <v>0</v>
      </c>
      <c r="DE118">
        <v>411900</v>
      </c>
      <c r="DF118">
        <v>0</v>
      </c>
      <c r="DG118">
        <v>0</v>
      </c>
      <c r="DH118" s="14">
        <v>6232204</v>
      </c>
      <c r="DI118" s="15" t="s">
        <v>669</v>
      </c>
      <c r="DJ118" s="11" t="str">
        <f t="shared" si="3"/>
        <v>KAREN LEE</v>
      </c>
      <c r="DK118" s="16" t="s">
        <v>604</v>
      </c>
      <c r="DL118" s="17" t="s">
        <v>858</v>
      </c>
      <c r="DM118" s="16">
        <v>6211111</v>
      </c>
    </row>
    <row r="119" spans="1:117" x14ac:dyDescent="0.25">
      <c r="A119" s="11" t="str">
        <f t="shared" si="2"/>
        <v>KEVIN SMITH - UNIT WILAYAH UTARA</v>
      </c>
      <c r="B119" s="12">
        <v>11113857</v>
      </c>
      <c r="C119" s="12" t="s">
        <v>493</v>
      </c>
      <c r="D119" s="13" t="s">
        <v>290</v>
      </c>
      <c r="E119" t="s">
        <v>116</v>
      </c>
      <c r="F119" t="s">
        <v>351</v>
      </c>
      <c r="G119" t="s">
        <v>352</v>
      </c>
      <c r="H119" t="s">
        <v>355</v>
      </c>
      <c r="I119" t="s">
        <v>397</v>
      </c>
      <c r="J119" t="s">
        <v>425</v>
      </c>
      <c r="K119" t="s">
        <v>119</v>
      </c>
      <c r="L119" t="s">
        <v>120</v>
      </c>
      <c r="M119">
        <v>0</v>
      </c>
      <c r="N119">
        <v>0</v>
      </c>
      <c r="O119">
        <v>0</v>
      </c>
      <c r="P119">
        <v>0</v>
      </c>
      <c r="Q119">
        <v>5000000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419700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20000</v>
      </c>
      <c r="BN119">
        <v>1000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13698</v>
      </c>
      <c r="CM119">
        <v>100000</v>
      </c>
      <c r="CN119">
        <v>50000</v>
      </c>
      <c r="CO119">
        <v>50000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15000</v>
      </c>
      <c r="CW119">
        <v>44500</v>
      </c>
      <c r="CX119">
        <v>185000</v>
      </c>
      <c r="CY119">
        <v>100000</v>
      </c>
      <c r="CZ119">
        <v>200000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 s="14">
        <v>5185002</v>
      </c>
      <c r="DI119" s="11" t="s">
        <v>722</v>
      </c>
      <c r="DJ119" s="11" t="str">
        <f t="shared" si="3"/>
        <v>KEVIN SMITH</v>
      </c>
      <c r="DK119" s="16" t="s">
        <v>604</v>
      </c>
      <c r="DL119" s="16" t="s">
        <v>865</v>
      </c>
      <c r="DM119" s="16">
        <v>6211111</v>
      </c>
    </row>
    <row r="120" spans="1:117" x14ac:dyDescent="0.25">
      <c r="A120" s="11" t="str">
        <f t="shared" si="2"/>
        <v>MELISSA NGUYEN - UNIT WILAYAH UTARA</v>
      </c>
      <c r="B120" s="12">
        <v>11117106</v>
      </c>
      <c r="C120" s="12" t="s">
        <v>121</v>
      </c>
      <c r="D120" s="13" t="s">
        <v>316</v>
      </c>
      <c r="E120" t="s">
        <v>116</v>
      </c>
      <c r="F120" t="s">
        <v>351</v>
      </c>
      <c r="G120" t="s">
        <v>352</v>
      </c>
      <c r="H120" t="s">
        <v>355</v>
      </c>
      <c r="I120" t="s">
        <v>397</v>
      </c>
      <c r="J120" t="s">
        <v>425</v>
      </c>
      <c r="K120" t="s">
        <v>119</v>
      </c>
      <c r="L120" t="s">
        <v>120</v>
      </c>
      <c r="M120">
        <v>0</v>
      </c>
      <c r="N120">
        <v>0</v>
      </c>
      <c r="O120">
        <v>0</v>
      </c>
      <c r="P120">
        <v>0</v>
      </c>
      <c r="Q120">
        <v>7985259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381800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123049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150239</v>
      </c>
      <c r="CM120">
        <v>159705</v>
      </c>
      <c r="CN120">
        <v>79853</v>
      </c>
      <c r="CO120">
        <v>79853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23956</v>
      </c>
      <c r="CW120">
        <v>71069</v>
      </c>
      <c r="CX120">
        <v>295455</v>
      </c>
      <c r="CY120">
        <v>159705</v>
      </c>
      <c r="CZ120">
        <v>319410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 s="14">
        <v>8020458</v>
      </c>
      <c r="DI120" s="11" t="s">
        <v>659</v>
      </c>
      <c r="DJ120" s="11" t="str">
        <f t="shared" si="3"/>
        <v>MELISSA NGUYEN</v>
      </c>
      <c r="DK120" s="16" t="s">
        <v>604</v>
      </c>
      <c r="DL120" s="16" t="s">
        <v>856</v>
      </c>
      <c r="DM120" s="16">
        <v>6211111</v>
      </c>
    </row>
    <row r="121" spans="1:117" x14ac:dyDescent="0.25">
      <c r="A121" s="11" t="str">
        <f t="shared" si="2"/>
        <v>NANCY WALKER - UNIT WILAYAH UTARA</v>
      </c>
      <c r="B121" s="12">
        <v>11101447</v>
      </c>
      <c r="C121" s="12" t="s">
        <v>574</v>
      </c>
      <c r="D121" s="13" t="s">
        <v>307</v>
      </c>
      <c r="E121" t="s">
        <v>116</v>
      </c>
      <c r="F121" t="s">
        <v>351</v>
      </c>
      <c r="G121" t="s">
        <v>352</v>
      </c>
      <c r="H121" t="s">
        <v>355</v>
      </c>
      <c r="I121" t="s">
        <v>397</v>
      </c>
      <c r="J121" t="s">
        <v>425</v>
      </c>
      <c r="K121" t="s">
        <v>117</v>
      </c>
      <c r="L121" t="s">
        <v>118</v>
      </c>
      <c r="M121">
        <v>2111300</v>
      </c>
      <c r="N121">
        <v>6075600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650000</v>
      </c>
      <c r="U121">
        <v>1613000</v>
      </c>
      <c r="V121">
        <v>175000</v>
      </c>
      <c r="W121">
        <v>0</v>
      </c>
      <c r="X121">
        <v>150000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419700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394482</v>
      </c>
      <c r="BJ121">
        <v>10000</v>
      </c>
      <c r="BK121">
        <v>0</v>
      </c>
      <c r="BL121">
        <v>100000</v>
      </c>
      <c r="BM121">
        <v>20000</v>
      </c>
      <c r="BN121">
        <v>1000</v>
      </c>
      <c r="BO121">
        <v>0</v>
      </c>
      <c r="BP121">
        <v>0</v>
      </c>
      <c r="BQ121">
        <v>301500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467625</v>
      </c>
      <c r="CM121">
        <v>170660</v>
      </c>
      <c r="CN121">
        <v>85330</v>
      </c>
      <c r="CO121">
        <v>85330</v>
      </c>
      <c r="CP121">
        <v>0</v>
      </c>
      <c r="CQ121">
        <v>30340</v>
      </c>
      <c r="CR121">
        <v>0</v>
      </c>
      <c r="CS121">
        <v>98605</v>
      </c>
      <c r="CT121">
        <v>0</v>
      </c>
      <c r="CU121">
        <v>0</v>
      </c>
      <c r="CV121">
        <v>25599</v>
      </c>
      <c r="CW121">
        <v>75944</v>
      </c>
      <c r="CX121">
        <v>315721</v>
      </c>
      <c r="CY121">
        <v>170660</v>
      </c>
      <c r="CZ121">
        <v>341320</v>
      </c>
      <c r="DA121">
        <v>0</v>
      </c>
      <c r="DB121">
        <v>60680</v>
      </c>
      <c r="DC121">
        <v>103156</v>
      </c>
      <c r="DD121">
        <v>0</v>
      </c>
      <c r="DE121">
        <v>0</v>
      </c>
      <c r="DF121">
        <v>0</v>
      </c>
      <c r="DG121">
        <v>0</v>
      </c>
      <c r="DH121" s="14">
        <v>10218692</v>
      </c>
      <c r="DI121" s="15" t="s">
        <v>794</v>
      </c>
      <c r="DJ121" s="11" t="str">
        <f t="shared" si="3"/>
        <v>NANCY WALKER</v>
      </c>
      <c r="DK121" s="16" t="s">
        <v>604</v>
      </c>
      <c r="DL121" s="17" t="s">
        <v>842</v>
      </c>
      <c r="DM121" s="16">
        <v>6211111</v>
      </c>
    </row>
    <row r="122" spans="1:117" x14ac:dyDescent="0.25">
      <c r="A122" s="11" t="str">
        <f t="shared" si="2"/>
        <v>ROBERT ROBINSON - UNIT WILAYAH UTARA</v>
      </c>
      <c r="B122" s="12">
        <v>11100809</v>
      </c>
      <c r="C122" s="12">
        <v>11000809</v>
      </c>
      <c r="D122" s="13" t="s">
        <v>243</v>
      </c>
      <c r="E122" t="s">
        <v>124</v>
      </c>
      <c r="F122" t="s">
        <v>351</v>
      </c>
      <c r="G122" t="s">
        <v>352</v>
      </c>
      <c r="I122" t="s">
        <v>397</v>
      </c>
      <c r="J122" t="s">
        <v>425</v>
      </c>
      <c r="K122" t="s">
        <v>118</v>
      </c>
      <c r="L122" t="s">
        <v>125</v>
      </c>
      <c r="M122">
        <v>588750</v>
      </c>
      <c r="N122">
        <v>1384900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 s="14">
        <v>1973650</v>
      </c>
      <c r="DI122" s="11" t="s">
        <v>608</v>
      </c>
      <c r="DJ122" s="11" t="str">
        <f t="shared" si="3"/>
        <v>ROBERT ROBINSON</v>
      </c>
      <c r="DK122" s="16" t="s">
        <v>604</v>
      </c>
      <c r="DL122" s="16" t="s">
        <v>823</v>
      </c>
      <c r="DM122" s="16">
        <v>6211111</v>
      </c>
    </row>
    <row r="123" spans="1:117" x14ac:dyDescent="0.25">
      <c r="A123" s="11" t="str">
        <f t="shared" si="2"/>
        <v>WILLIAM HARRIS - UNIT WILAYAH UTARA</v>
      </c>
      <c r="B123" s="12">
        <v>11102291</v>
      </c>
      <c r="C123" s="12" t="s">
        <v>595</v>
      </c>
      <c r="D123" s="13" t="s">
        <v>287</v>
      </c>
      <c r="E123" t="s">
        <v>116</v>
      </c>
      <c r="F123" t="s">
        <v>351</v>
      </c>
      <c r="G123" t="s">
        <v>352</v>
      </c>
      <c r="H123" t="s">
        <v>355</v>
      </c>
      <c r="I123" t="s">
        <v>397</v>
      </c>
      <c r="J123" t="s">
        <v>425</v>
      </c>
      <c r="K123" t="s">
        <v>117</v>
      </c>
      <c r="L123" t="s">
        <v>118</v>
      </c>
      <c r="M123">
        <v>2214500</v>
      </c>
      <c r="N123">
        <v>8208500</v>
      </c>
      <c r="O123">
        <v>0</v>
      </c>
      <c r="P123">
        <v>0</v>
      </c>
      <c r="Q123">
        <v>0</v>
      </c>
      <c r="R123">
        <v>0</v>
      </c>
      <c r="S123">
        <v>1800000</v>
      </c>
      <c r="T123">
        <v>0</v>
      </c>
      <c r="U123">
        <v>1131000</v>
      </c>
      <c r="V123">
        <v>225000</v>
      </c>
      <c r="W123">
        <v>0</v>
      </c>
      <c r="X123">
        <v>750000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719700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6928250</v>
      </c>
      <c r="BJ123">
        <v>10000</v>
      </c>
      <c r="BK123">
        <v>0</v>
      </c>
      <c r="BL123">
        <v>100000</v>
      </c>
      <c r="BM123">
        <v>20000</v>
      </c>
      <c r="BN123">
        <v>1000</v>
      </c>
      <c r="BO123">
        <v>0</v>
      </c>
      <c r="BP123">
        <v>0</v>
      </c>
      <c r="BQ123">
        <v>1638500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7483615</v>
      </c>
      <c r="CM123">
        <v>222380</v>
      </c>
      <c r="CN123">
        <v>111190</v>
      </c>
      <c r="CO123">
        <v>89397</v>
      </c>
      <c r="CP123">
        <v>0</v>
      </c>
      <c r="CQ123">
        <v>33040</v>
      </c>
      <c r="CR123">
        <v>0</v>
      </c>
      <c r="CS123">
        <v>107380</v>
      </c>
      <c r="CT123">
        <v>0</v>
      </c>
      <c r="CU123">
        <v>0</v>
      </c>
      <c r="CV123">
        <v>33357</v>
      </c>
      <c r="CW123">
        <v>98959</v>
      </c>
      <c r="CX123">
        <v>411403</v>
      </c>
      <c r="CY123">
        <v>178794</v>
      </c>
      <c r="CZ123">
        <v>444760</v>
      </c>
      <c r="DA123">
        <v>0</v>
      </c>
      <c r="DB123">
        <v>66080</v>
      </c>
      <c r="DC123">
        <v>112336</v>
      </c>
      <c r="DD123">
        <v>0</v>
      </c>
      <c r="DE123">
        <v>0</v>
      </c>
      <c r="DF123">
        <v>0</v>
      </c>
      <c r="DG123">
        <v>0</v>
      </c>
      <c r="DH123" s="14">
        <v>12160448</v>
      </c>
      <c r="DI123" s="15" t="s">
        <v>815</v>
      </c>
      <c r="DJ123" s="11" t="str">
        <f t="shared" si="3"/>
        <v>WILLIAM HARRIS</v>
      </c>
      <c r="DK123" s="16" t="s">
        <v>604</v>
      </c>
      <c r="DL123" s="17" t="s">
        <v>864</v>
      </c>
      <c r="DM123" s="16">
        <v>6211111</v>
      </c>
    </row>
    <row r="124" spans="1:117" x14ac:dyDescent="0.25">
      <c r="A124" s="11" t="str">
        <f t="shared" si="2"/>
        <v>DOROTHY JOHNSON - UNIT WILAYAH UTARA</v>
      </c>
      <c r="B124" s="12">
        <v>11101047</v>
      </c>
      <c r="C124" s="12" t="s">
        <v>556</v>
      </c>
      <c r="D124" s="13" t="s">
        <v>265</v>
      </c>
      <c r="E124" t="s">
        <v>116</v>
      </c>
      <c r="F124" t="s">
        <v>351</v>
      </c>
      <c r="G124" t="s">
        <v>352</v>
      </c>
      <c r="H124" t="s">
        <v>355</v>
      </c>
      <c r="I124" t="s">
        <v>387</v>
      </c>
      <c r="J124" t="s">
        <v>426</v>
      </c>
      <c r="K124" t="s">
        <v>117</v>
      </c>
      <c r="L124" t="s">
        <v>118</v>
      </c>
      <c r="M124">
        <v>3254700</v>
      </c>
      <c r="N124">
        <v>6505500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650000</v>
      </c>
      <c r="U124">
        <v>1613000</v>
      </c>
      <c r="V124">
        <v>175000</v>
      </c>
      <c r="W124">
        <v>0</v>
      </c>
      <c r="X124">
        <v>150000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656199</v>
      </c>
      <c r="BJ124">
        <v>146885</v>
      </c>
      <c r="BK124">
        <v>0</v>
      </c>
      <c r="BL124">
        <v>100000</v>
      </c>
      <c r="BM124">
        <v>20000</v>
      </c>
      <c r="BN124">
        <v>1000</v>
      </c>
      <c r="BO124">
        <v>0</v>
      </c>
      <c r="BP124">
        <v>0</v>
      </c>
      <c r="BQ124">
        <v>101500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656199</v>
      </c>
      <c r="CM124">
        <v>200980</v>
      </c>
      <c r="CN124">
        <v>100490</v>
      </c>
      <c r="CO124">
        <v>89397</v>
      </c>
      <c r="CP124">
        <v>0</v>
      </c>
      <c r="CQ124">
        <v>49980</v>
      </c>
      <c r="CR124">
        <v>0</v>
      </c>
      <c r="CS124">
        <v>162435</v>
      </c>
      <c r="CT124">
        <v>0</v>
      </c>
      <c r="CU124">
        <v>0</v>
      </c>
      <c r="CV124">
        <v>30147</v>
      </c>
      <c r="CW124">
        <v>89436</v>
      </c>
      <c r="CX124">
        <v>371813</v>
      </c>
      <c r="CY124">
        <v>178794</v>
      </c>
      <c r="CZ124">
        <v>401960</v>
      </c>
      <c r="DA124">
        <v>0</v>
      </c>
      <c r="DB124">
        <v>99960</v>
      </c>
      <c r="DC124">
        <v>169932</v>
      </c>
      <c r="DD124">
        <v>0</v>
      </c>
      <c r="DE124">
        <v>0</v>
      </c>
      <c r="DF124">
        <v>0</v>
      </c>
      <c r="DG124">
        <v>0</v>
      </c>
      <c r="DH124" s="14">
        <v>11375533</v>
      </c>
      <c r="DI124" s="15" t="s">
        <v>776</v>
      </c>
      <c r="DJ124" s="11" t="str">
        <f t="shared" si="3"/>
        <v>DOROTHY JOHNSON</v>
      </c>
      <c r="DK124" s="16" t="s">
        <v>604</v>
      </c>
      <c r="DL124" s="17" t="s">
        <v>834</v>
      </c>
      <c r="DM124" s="16">
        <v>6211111</v>
      </c>
    </row>
    <row r="125" spans="1:117" x14ac:dyDescent="0.25">
      <c r="A125" s="11" t="str">
        <f t="shared" si="2"/>
        <v>JOSHUA GARCIA - UNIT WILAYAH UTARA</v>
      </c>
      <c r="B125" s="12">
        <v>11113893</v>
      </c>
      <c r="C125" s="12" t="s">
        <v>497</v>
      </c>
      <c r="D125" s="13" t="s">
        <v>332</v>
      </c>
      <c r="E125" t="s">
        <v>116</v>
      </c>
      <c r="F125" t="s">
        <v>351</v>
      </c>
      <c r="G125" t="s">
        <v>352</v>
      </c>
      <c r="H125" t="s">
        <v>355</v>
      </c>
      <c r="I125" t="s">
        <v>387</v>
      </c>
      <c r="J125" t="s">
        <v>426</v>
      </c>
      <c r="K125" t="s">
        <v>119</v>
      </c>
      <c r="L125" t="s">
        <v>120</v>
      </c>
      <c r="M125">
        <v>0</v>
      </c>
      <c r="N125">
        <v>0</v>
      </c>
      <c r="O125">
        <v>0</v>
      </c>
      <c r="P125">
        <v>0</v>
      </c>
      <c r="Q125">
        <v>4961753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20000</v>
      </c>
      <c r="BN125">
        <v>1000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99235</v>
      </c>
      <c r="CN125">
        <v>49618</v>
      </c>
      <c r="CO125">
        <v>49618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14885</v>
      </c>
      <c r="CW125">
        <v>44160</v>
      </c>
      <c r="CX125">
        <v>183585</v>
      </c>
      <c r="CY125">
        <v>99235</v>
      </c>
      <c r="CZ125">
        <v>198470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 s="14">
        <v>4742282</v>
      </c>
      <c r="DI125" s="11" t="s">
        <v>763</v>
      </c>
      <c r="DJ125" s="11" t="str">
        <f t="shared" si="3"/>
        <v>JOSHUA GARCIA</v>
      </c>
      <c r="DK125" s="16" t="s">
        <v>604</v>
      </c>
      <c r="DL125" s="16" t="s">
        <v>824</v>
      </c>
      <c r="DM125" s="16">
        <v>6211111</v>
      </c>
    </row>
    <row r="126" spans="1:117" x14ac:dyDescent="0.25">
      <c r="A126" s="11" t="str">
        <f t="shared" si="2"/>
        <v>MICHAEL CLARK - UNIT WILAYAH UTARA</v>
      </c>
      <c r="B126" s="12">
        <v>11115636</v>
      </c>
      <c r="C126" s="12" t="s">
        <v>496</v>
      </c>
      <c r="D126" s="13" t="s">
        <v>232</v>
      </c>
      <c r="E126" t="s">
        <v>116</v>
      </c>
      <c r="F126" t="s">
        <v>351</v>
      </c>
      <c r="G126" t="s">
        <v>352</v>
      </c>
      <c r="H126" t="s">
        <v>355</v>
      </c>
      <c r="I126" t="s">
        <v>387</v>
      </c>
      <c r="J126" t="s">
        <v>426</v>
      </c>
      <c r="K126" t="s">
        <v>119</v>
      </c>
      <c r="L126" t="s">
        <v>120</v>
      </c>
      <c r="M126">
        <v>0</v>
      </c>
      <c r="N126">
        <v>0</v>
      </c>
      <c r="O126">
        <v>0</v>
      </c>
      <c r="P126">
        <v>0</v>
      </c>
      <c r="Q126">
        <v>4961753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20000</v>
      </c>
      <c r="BN126">
        <v>1000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99235</v>
      </c>
      <c r="CN126">
        <v>49618</v>
      </c>
      <c r="CO126">
        <v>49618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14885</v>
      </c>
      <c r="CW126">
        <v>44160</v>
      </c>
      <c r="CX126">
        <v>183585</v>
      </c>
      <c r="CY126">
        <v>99235</v>
      </c>
      <c r="CZ126">
        <v>198470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 s="14">
        <v>4742282</v>
      </c>
      <c r="DI126" s="11" t="s">
        <v>762</v>
      </c>
      <c r="DJ126" s="11" t="str">
        <f t="shared" si="3"/>
        <v>MICHAEL CLARK</v>
      </c>
      <c r="DK126" s="16" t="s">
        <v>604</v>
      </c>
      <c r="DL126" s="16" t="s">
        <v>857</v>
      </c>
      <c r="DM126" s="16">
        <v>6211111</v>
      </c>
    </row>
    <row r="127" spans="1:117" x14ac:dyDescent="0.25">
      <c r="A127" s="11" t="str">
        <f t="shared" si="2"/>
        <v>ROBERT WILLIAMS - UNIT WILAYAH UTARA</v>
      </c>
      <c r="B127" s="12">
        <v>11102808</v>
      </c>
      <c r="C127" s="12" t="s">
        <v>495</v>
      </c>
      <c r="D127" s="13" t="s">
        <v>185</v>
      </c>
      <c r="E127" t="s">
        <v>116</v>
      </c>
      <c r="F127" t="s">
        <v>351</v>
      </c>
      <c r="G127" t="s">
        <v>352</v>
      </c>
      <c r="H127" t="s">
        <v>357</v>
      </c>
      <c r="I127" t="s">
        <v>387</v>
      </c>
      <c r="J127" t="s">
        <v>426</v>
      </c>
      <c r="K127" t="s">
        <v>117</v>
      </c>
      <c r="L127" t="s">
        <v>118</v>
      </c>
      <c r="M127">
        <v>1322000</v>
      </c>
      <c r="N127">
        <v>5360000</v>
      </c>
      <c r="O127">
        <v>0</v>
      </c>
      <c r="P127">
        <v>0</v>
      </c>
      <c r="Q127">
        <v>0</v>
      </c>
      <c r="R127">
        <v>0</v>
      </c>
      <c r="S127">
        <v>1800000</v>
      </c>
      <c r="T127">
        <v>0</v>
      </c>
      <c r="U127">
        <v>1131000</v>
      </c>
      <c r="V127">
        <v>225000</v>
      </c>
      <c r="W127">
        <v>0</v>
      </c>
      <c r="X127">
        <v>600000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5725772</v>
      </c>
      <c r="BJ127">
        <v>10000</v>
      </c>
      <c r="BK127">
        <v>0</v>
      </c>
      <c r="BL127">
        <v>100000</v>
      </c>
      <c r="BM127">
        <v>20000</v>
      </c>
      <c r="BN127">
        <v>1000</v>
      </c>
      <c r="BO127">
        <v>0</v>
      </c>
      <c r="BP127">
        <v>0</v>
      </c>
      <c r="BQ127">
        <v>1161500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5725772</v>
      </c>
      <c r="CM127">
        <v>166460</v>
      </c>
      <c r="CN127">
        <v>83230</v>
      </c>
      <c r="CO127">
        <v>83230</v>
      </c>
      <c r="CP127">
        <v>0</v>
      </c>
      <c r="CQ127">
        <v>0</v>
      </c>
      <c r="CR127">
        <v>0</v>
      </c>
      <c r="CS127">
        <v>0</v>
      </c>
      <c r="CT127">
        <v>291305</v>
      </c>
      <c r="CU127">
        <v>0</v>
      </c>
      <c r="CV127">
        <v>24969</v>
      </c>
      <c r="CW127">
        <v>74075</v>
      </c>
      <c r="CX127">
        <v>307951</v>
      </c>
      <c r="CY127">
        <v>166460</v>
      </c>
      <c r="CZ127">
        <v>332920</v>
      </c>
      <c r="DA127">
        <v>0</v>
      </c>
      <c r="DB127">
        <v>0</v>
      </c>
      <c r="DC127">
        <v>0</v>
      </c>
      <c r="DD127">
        <v>0</v>
      </c>
      <c r="DE127">
        <v>624225</v>
      </c>
      <c r="DF127">
        <v>0</v>
      </c>
      <c r="DG127">
        <v>0</v>
      </c>
      <c r="DH127" s="14">
        <v>8521275</v>
      </c>
      <c r="DI127" s="15" t="s">
        <v>661</v>
      </c>
      <c r="DJ127" s="11" t="str">
        <f t="shared" si="3"/>
        <v>ROBERT WILLIAMS</v>
      </c>
      <c r="DK127" s="16" t="s">
        <v>604</v>
      </c>
      <c r="DL127" s="17" t="s">
        <v>823</v>
      </c>
      <c r="DM127" s="16">
        <v>6211111</v>
      </c>
    </row>
    <row r="128" spans="1:117" x14ac:dyDescent="0.25">
      <c r="A128" s="11" t="str">
        <f t="shared" si="2"/>
        <v>ANTHONY MARTINEZ - UNIT WILAYAH UTARA</v>
      </c>
      <c r="B128" s="12">
        <v>11113889</v>
      </c>
      <c r="C128" s="12" t="s">
        <v>501</v>
      </c>
      <c r="D128" s="13" t="s">
        <v>268</v>
      </c>
      <c r="E128" t="s">
        <v>116</v>
      </c>
      <c r="F128" t="s">
        <v>351</v>
      </c>
      <c r="G128" t="s">
        <v>352</v>
      </c>
      <c r="H128" t="s">
        <v>355</v>
      </c>
      <c r="I128" t="s">
        <v>388</v>
      </c>
      <c r="J128" t="s">
        <v>427</v>
      </c>
      <c r="K128" t="s">
        <v>117</v>
      </c>
      <c r="L128" t="s">
        <v>118</v>
      </c>
      <c r="M128">
        <v>605000</v>
      </c>
      <c r="N128">
        <v>1808000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650000</v>
      </c>
      <c r="U128">
        <v>1613000</v>
      </c>
      <c r="V128">
        <v>175000</v>
      </c>
      <c r="W128">
        <v>0</v>
      </c>
      <c r="X128">
        <v>150000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440621</v>
      </c>
      <c r="BK128">
        <v>0</v>
      </c>
      <c r="BL128">
        <v>100000</v>
      </c>
      <c r="BM128">
        <v>20000</v>
      </c>
      <c r="BN128">
        <v>1000</v>
      </c>
      <c r="BO128">
        <v>0</v>
      </c>
      <c r="BP128">
        <v>0</v>
      </c>
      <c r="BQ128">
        <v>1136500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97020</v>
      </c>
      <c r="CN128">
        <v>48510</v>
      </c>
      <c r="CO128">
        <v>48510</v>
      </c>
      <c r="CP128">
        <v>0</v>
      </c>
      <c r="CQ128">
        <v>0</v>
      </c>
      <c r="CR128">
        <v>0</v>
      </c>
      <c r="CS128">
        <v>0</v>
      </c>
      <c r="CT128">
        <v>169785</v>
      </c>
      <c r="CU128">
        <v>0</v>
      </c>
      <c r="CV128">
        <v>14553</v>
      </c>
      <c r="CW128">
        <v>43174</v>
      </c>
      <c r="CX128">
        <v>179487</v>
      </c>
      <c r="CY128">
        <v>97020</v>
      </c>
      <c r="CZ128">
        <v>194040</v>
      </c>
      <c r="DA128">
        <v>0</v>
      </c>
      <c r="DB128">
        <v>0</v>
      </c>
      <c r="DC128">
        <v>0</v>
      </c>
      <c r="DD128">
        <v>0</v>
      </c>
      <c r="DE128">
        <v>363825</v>
      </c>
      <c r="DF128">
        <v>0</v>
      </c>
      <c r="DG128">
        <v>0</v>
      </c>
      <c r="DH128" s="14">
        <v>2939054</v>
      </c>
      <c r="DI128" s="11" t="s">
        <v>741</v>
      </c>
      <c r="DJ128" s="11" t="str">
        <f t="shared" si="3"/>
        <v>ANTHONY MARTINEZ</v>
      </c>
      <c r="DK128" s="16" t="s">
        <v>604</v>
      </c>
      <c r="DL128" s="16" t="s">
        <v>846</v>
      </c>
      <c r="DM128" s="16">
        <v>6211111</v>
      </c>
    </row>
    <row r="129" spans="1:117" x14ac:dyDescent="0.25">
      <c r="A129" s="11" t="str">
        <f t="shared" si="2"/>
        <v>ASHLEY JONES - UNIT WILAYAH UTARA</v>
      </c>
      <c r="B129" s="12">
        <v>111121190258</v>
      </c>
      <c r="C129" s="12">
        <v>111121190258</v>
      </c>
      <c r="D129" s="13" t="s">
        <v>197</v>
      </c>
      <c r="E129" t="s">
        <v>122</v>
      </c>
      <c r="F129" t="s">
        <v>351</v>
      </c>
      <c r="G129" t="s">
        <v>352</v>
      </c>
      <c r="H129" t="s">
        <v>356</v>
      </c>
      <c r="I129" t="s">
        <v>388</v>
      </c>
      <c r="J129" t="s">
        <v>427</v>
      </c>
      <c r="K129">
        <v>0</v>
      </c>
      <c r="L129" t="s">
        <v>123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3550000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124140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71000</v>
      </c>
      <c r="CN129">
        <v>35500</v>
      </c>
      <c r="CO129">
        <v>35500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 s="14">
        <v>3283860</v>
      </c>
      <c r="DI129" s="11" t="s">
        <v>614</v>
      </c>
      <c r="DJ129" s="11" t="str">
        <f t="shared" si="3"/>
        <v>ASHLEY JONES</v>
      </c>
      <c r="DK129" s="16" t="s">
        <v>604</v>
      </c>
      <c r="DL129" s="16" t="s">
        <v>828</v>
      </c>
      <c r="DM129" s="16">
        <v>6211111</v>
      </c>
    </row>
    <row r="130" spans="1:117" x14ac:dyDescent="0.25">
      <c r="A130" s="11" t="str">
        <f t="shared" si="2"/>
        <v>EDWARD ANDERSON - UNIT WILAYAH UTARA</v>
      </c>
      <c r="B130" s="12">
        <v>11115114</v>
      </c>
      <c r="C130" s="12" t="s">
        <v>502</v>
      </c>
      <c r="D130" s="13" t="s">
        <v>326</v>
      </c>
      <c r="E130" t="s">
        <v>116</v>
      </c>
      <c r="F130" t="s">
        <v>351</v>
      </c>
      <c r="G130" t="s">
        <v>352</v>
      </c>
      <c r="H130" t="s">
        <v>355</v>
      </c>
      <c r="I130" t="s">
        <v>388</v>
      </c>
      <c r="J130" t="s">
        <v>427</v>
      </c>
      <c r="K130" t="s">
        <v>119</v>
      </c>
      <c r="L130" t="s">
        <v>120</v>
      </c>
      <c r="M130">
        <v>0</v>
      </c>
      <c r="N130">
        <v>0</v>
      </c>
      <c r="O130">
        <v>0</v>
      </c>
      <c r="P130">
        <v>0</v>
      </c>
      <c r="Q130">
        <v>5000000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20000</v>
      </c>
      <c r="BN130">
        <v>1000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100000</v>
      </c>
      <c r="CN130">
        <v>50000</v>
      </c>
      <c r="CO130">
        <v>50000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15000</v>
      </c>
      <c r="CW130">
        <v>44500</v>
      </c>
      <c r="CX130">
        <v>185000</v>
      </c>
      <c r="CY130">
        <v>100000</v>
      </c>
      <c r="CZ130">
        <v>200000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 s="14">
        <v>4779000</v>
      </c>
      <c r="DI130" s="11" t="s">
        <v>726</v>
      </c>
      <c r="DJ130" s="11" t="str">
        <f t="shared" si="3"/>
        <v>EDWARD ANDERSON</v>
      </c>
      <c r="DK130" s="16" t="s">
        <v>604</v>
      </c>
      <c r="DL130" s="16" t="s">
        <v>830</v>
      </c>
      <c r="DM130" s="16">
        <v>6211111</v>
      </c>
    </row>
    <row r="131" spans="1:117" x14ac:dyDescent="0.25">
      <c r="A131" s="11" t="str">
        <f t="shared" si="2"/>
        <v>ELIZABETH SCOTT - UNIT WILAYAH UTARA</v>
      </c>
      <c r="B131" s="12">
        <v>11101226</v>
      </c>
      <c r="C131" s="12" t="s">
        <v>561</v>
      </c>
      <c r="D131" s="13" t="s">
        <v>341</v>
      </c>
      <c r="E131" t="s">
        <v>116</v>
      </c>
      <c r="F131" t="s">
        <v>351</v>
      </c>
      <c r="G131" t="s">
        <v>352</v>
      </c>
      <c r="H131" t="s">
        <v>358</v>
      </c>
      <c r="I131" t="s">
        <v>388</v>
      </c>
      <c r="J131" t="s">
        <v>427</v>
      </c>
      <c r="K131" t="s">
        <v>117</v>
      </c>
      <c r="L131" t="s">
        <v>118</v>
      </c>
      <c r="M131">
        <v>2180000</v>
      </c>
      <c r="N131">
        <v>6367000</v>
      </c>
      <c r="O131">
        <v>0</v>
      </c>
      <c r="P131">
        <v>0</v>
      </c>
      <c r="Q131">
        <v>0</v>
      </c>
      <c r="R131">
        <v>0</v>
      </c>
      <c r="S131">
        <v>1200000</v>
      </c>
      <c r="T131">
        <v>0</v>
      </c>
      <c r="U131">
        <v>1486000</v>
      </c>
      <c r="V131">
        <v>200000</v>
      </c>
      <c r="W131">
        <v>0</v>
      </c>
      <c r="X131">
        <v>400000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1149442</v>
      </c>
      <c r="BJ131">
        <v>30713</v>
      </c>
      <c r="BK131">
        <v>0</v>
      </c>
      <c r="BL131">
        <v>100000</v>
      </c>
      <c r="BM131">
        <v>20000</v>
      </c>
      <c r="BN131">
        <v>1000</v>
      </c>
      <c r="BO131">
        <v>0</v>
      </c>
      <c r="BP131">
        <v>0</v>
      </c>
      <c r="BQ131">
        <v>169000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1149442</v>
      </c>
      <c r="CM131">
        <v>185160</v>
      </c>
      <c r="CN131">
        <v>92580</v>
      </c>
      <c r="CO131">
        <v>89397</v>
      </c>
      <c r="CP131">
        <v>0</v>
      </c>
      <c r="CQ131">
        <v>31420</v>
      </c>
      <c r="CR131">
        <v>0</v>
      </c>
      <c r="CS131">
        <v>102115</v>
      </c>
      <c r="CT131">
        <v>0</v>
      </c>
      <c r="CU131">
        <v>0</v>
      </c>
      <c r="CV131">
        <v>27774</v>
      </c>
      <c r="CW131">
        <v>82396</v>
      </c>
      <c r="CX131">
        <v>342546</v>
      </c>
      <c r="CY131">
        <v>178794</v>
      </c>
      <c r="CZ131">
        <v>370320</v>
      </c>
      <c r="DA131">
        <v>0</v>
      </c>
      <c r="DB131">
        <v>62840</v>
      </c>
      <c r="DC131">
        <v>106828</v>
      </c>
      <c r="DD131">
        <v>0</v>
      </c>
      <c r="DE131">
        <v>0</v>
      </c>
      <c r="DF131">
        <v>0</v>
      </c>
      <c r="DG131">
        <v>0</v>
      </c>
      <c r="DH131" s="14">
        <v>11011615</v>
      </c>
      <c r="DI131" s="15" t="s">
        <v>781</v>
      </c>
      <c r="DJ131" s="11" t="str">
        <f t="shared" si="3"/>
        <v>ELIZABETH SCOTT</v>
      </c>
      <c r="DK131" s="16" t="s">
        <v>604</v>
      </c>
      <c r="DL131" s="17" t="s">
        <v>866</v>
      </c>
      <c r="DM131" s="16">
        <v>6211111</v>
      </c>
    </row>
    <row r="132" spans="1:117" x14ac:dyDescent="0.25">
      <c r="A132" s="11" t="str">
        <f t="shared" si="2"/>
        <v>EMILY LEE - UNIT WILAYAH UTARA</v>
      </c>
      <c r="B132" s="12">
        <v>11100957</v>
      </c>
      <c r="C132" s="12" t="s">
        <v>551</v>
      </c>
      <c r="D132" s="13" t="s">
        <v>278</v>
      </c>
      <c r="E132" t="s">
        <v>116</v>
      </c>
      <c r="F132" t="s">
        <v>351</v>
      </c>
      <c r="G132" t="s">
        <v>352</v>
      </c>
      <c r="H132" t="s">
        <v>355</v>
      </c>
      <c r="I132" t="s">
        <v>388</v>
      </c>
      <c r="J132" t="s">
        <v>427</v>
      </c>
      <c r="K132" t="s">
        <v>117</v>
      </c>
      <c r="L132" t="s">
        <v>118</v>
      </c>
      <c r="M132">
        <v>2323500</v>
      </c>
      <c r="N132">
        <v>6618500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650000</v>
      </c>
      <c r="U132">
        <v>1613000</v>
      </c>
      <c r="V132">
        <v>175000</v>
      </c>
      <c r="W132">
        <v>0</v>
      </c>
      <c r="X132">
        <v>150000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237591</v>
      </c>
      <c r="BJ132">
        <v>153476</v>
      </c>
      <c r="BK132">
        <v>0</v>
      </c>
      <c r="BL132">
        <v>100000</v>
      </c>
      <c r="BM132">
        <v>20000</v>
      </c>
      <c r="BN132">
        <v>1000</v>
      </c>
      <c r="BO132">
        <v>0</v>
      </c>
      <c r="BP132">
        <v>0</v>
      </c>
      <c r="BQ132">
        <v>5561000</v>
      </c>
      <c r="BR132">
        <v>0</v>
      </c>
      <c r="BS132">
        <v>0</v>
      </c>
      <c r="BT132">
        <v>0</v>
      </c>
      <c r="BU132">
        <v>0</v>
      </c>
      <c r="BV132">
        <v>942500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237591</v>
      </c>
      <c r="CM132">
        <v>188240</v>
      </c>
      <c r="CN132">
        <v>94120</v>
      </c>
      <c r="CO132">
        <v>89397</v>
      </c>
      <c r="CP132">
        <v>0</v>
      </c>
      <c r="CQ132">
        <v>35580</v>
      </c>
      <c r="CR132">
        <v>0</v>
      </c>
      <c r="CS132">
        <v>115635</v>
      </c>
      <c r="CT132">
        <v>0</v>
      </c>
      <c r="CU132">
        <v>0</v>
      </c>
      <c r="CV132">
        <v>28236</v>
      </c>
      <c r="CW132">
        <v>83767</v>
      </c>
      <c r="CX132">
        <v>348244</v>
      </c>
      <c r="CY132">
        <v>178794</v>
      </c>
      <c r="CZ132">
        <v>376480</v>
      </c>
      <c r="DA132">
        <v>0</v>
      </c>
      <c r="DB132">
        <v>71160</v>
      </c>
      <c r="DC132">
        <v>120972</v>
      </c>
      <c r="DD132">
        <v>0</v>
      </c>
      <c r="DE132">
        <v>0</v>
      </c>
      <c r="DF132">
        <v>0</v>
      </c>
      <c r="DG132">
        <v>0</v>
      </c>
      <c r="DH132" s="14">
        <v>4229052</v>
      </c>
      <c r="DI132" s="15" t="s">
        <v>771</v>
      </c>
      <c r="DJ132" s="11" t="str">
        <f t="shared" si="3"/>
        <v>EMILY LEE</v>
      </c>
      <c r="DK132" s="16" t="s">
        <v>604</v>
      </c>
      <c r="DL132" s="17" t="s">
        <v>831</v>
      </c>
      <c r="DM132" s="16">
        <v>6211111</v>
      </c>
    </row>
    <row r="133" spans="1:117" x14ac:dyDescent="0.25">
      <c r="A133" s="11" t="str">
        <f t="shared" si="2"/>
        <v>EMILY MITCHELL - UNIT WILAYAH UTARA</v>
      </c>
      <c r="B133" s="12">
        <v>11113890</v>
      </c>
      <c r="C133" s="12" t="s">
        <v>499</v>
      </c>
      <c r="D133" s="13" t="s">
        <v>217</v>
      </c>
      <c r="E133" t="s">
        <v>116</v>
      </c>
      <c r="F133" t="s">
        <v>351</v>
      </c>
      <c r="G133" t="s">
        <v>352</v>
      </c>
      <c r="H133" t="s">
        <v>355</v>
      </c>
      <c r="I133" t="s">
        <v>388</v>
      </c>
      <c r="J133" t="s">
        <v>427</v>
      </c>
      <c r="K133" t="s">
        <v>119</v>
      </c>
      <c r="L133" t="s">
        <v>120</v>
      </c>
      <c r="M133">
        <v>0</v>
      </c>
      <c r="N133">
        <v>0</v>
      </c>
      <c r="O133">
        <v>0</v>
      </c>
      <c r="P133">
        <v>0</v>
      </c>
      <c r="Q133">
        <v>5000000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107863</v>
      </c>
      <c r="BK133">
        <v>0</v>
      </c>
      <c r="BL133">
        <v>100000</v>
      </c>
      <c r="BM133">
        <v>20000</v>
      </c>
      <c r="BN133">
        <v>1000</v>
      </c>
      <c r="BO133">
        <v>0</v>
      </c>
      <c r="BP133">
        <v>0</v>
      </c>
      <c r="BQ133">
        <v>101500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100000</v>
      </c>
      <c r="CN133">
        <v>50000</v>
      </c>
      <c r="CO133">
        <v>50000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15000</v>
      </c>
      <c r="CW133">
        <v>44500</v>
      </c>
      <c r="CX133">
        <v>185000</v>
      </c>
      <c r="CY133">
        <v>100000</v>
      </c>
      <c r="CZ133">
        <v>200000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 s="14">
        <v>4469637</v>
      </c>
      <c r="DI133" s="11" t="s">
        <v>670</v>
      </c>
      <c r="DJ133" s="11" t="str">
        <f t="shared" si="3"/>
        <v>EMILY MITCHELL</v>
      </c>
      <c r="DK133" s="16" t="s">
        <v>604</v>
      </c>
      <c r="DL133" s="16" t="s">
        <v>831</v>
      </c>
      <c r="DM133" s="16">
        <v>6211111</v>
      </c>
    </row>
    <row r="134" spans="1:117" x14ac:dyDescent="0.25">
      <c r="A134" s="11" t="str">
        <f t="shared" ref="A134:A197" si="4">D134&amp;" "&amp;"-"&amp;" "&amp;F134</f>
        <v>EMILY NGUYEN - UNIT WILAYAH UTARA</v>
      </c>
      <c r="B134" s="12">
        <v>11113871</v>
      </c>
      <c r="C134" s="12" t="s">
        <v>498</v>
      </c>
      <c r="D134" s="13" t="s">
        <v>187</v>
      </c>
      <c r="E134" t="s">
        <v>116</v>
      </c>
      <c r="F134" t="s">
        <v>351</v>
      </c>
      <c r="G134" t="s">
        <v>352</v>
      </c>
      <c r="H134" t="s">
        <v>355</v>
      </c>
      <c r="I134" t="s">
        <v>388</v>
      </c>
      <c r="J134" t="s">
        <v>427</v>
      </c>
      <c r="K134" t="s">
        <v>119</v>
      </c>
      <c r="L134" t="s">
        <v>120</v>
      </c>
      <c r="M134">
        <v>0</v>
      </c>
      <c r="N134">
        <v>0</v>
      </c>
      <c r="O134">
        <v>0</v>
      </c>
      <c r="P134">
        <v>0</v>
      </c>
      <c r="Q134">
        <v>4961753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16320</v>
      </c>
      <c r="BK134">
        <v>0</v>
      </c>
      <c r="BL134">
        <v>0</v>
      </c>
      <c r="BM134">
        <v>20000</v>
      </c>
      <c r="BN134">
        <v>1000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99235</v>
      </c>
      <c r="CN134">
        <v>49618</v>
      </c>
      <c r="CO134">
        <v>49618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14885</v>
      </c>
      <c r="CW134">
        <v>44160</v>
      </c>
      <c r="CX134">
        <v>183585</v>
      </c>
      <c r="CY134">
        <v>99235</v>
      </c>
      <c r="CZ134">
        <v>198470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 s="14">
        <v>4725962</v>
      </c>
      <c r="DI134" s="11" t="s">
        <v>746</v>
      </c>
      <c r="DJ134" s="11" t="str">
        <f t="shared" ref="DJ134:DJ197" si="5">D134</f>
        <v>EMILY NGUYEN</v>
      </c>
      <c r="DK134" s="16" t="s">
        <v>604</v>
      </c>
      <c r="DL134" s="16" t="s">
        <v>831</v>
      </c>
      <c r="DM134" s="16">
        <v>6211111</v>
      </c>
    </row>
    <row r="135" spans="1:117" x14ac:dyDescent="0.25">
      <c r="A135" s="11" t="str">
        <f t="shared" si="4"/>
        <v>JENNIFER NELSON - UNIT WILAYAH UTARA</v>
      </c>
      <c r="B135" s="12">
        <v>11101384</v>
      </c>
      <c r="C135" s="12" t="s">
        <v>569</v>
      </c>
      <c r="D135" s="13" t="s">
        <v>328</v>
      </c>
      <c r="E135" t="s">
        <v>116</v>
      </c>
      <c r="F135" t="s">
        <v>351</v>
      </c>
      <c r="G135" t="s">
        <v>352</v>
      </c>
      <c r="H135" t="s">
        <v>355</v>
      </c>
      <c r="I135" t="s">
        <v>388</v>
      </c>
      <c r="J135" t="s">
        <v>427</v>
      </c>
      <c r="K135" t="s">
        <v>117</v>
      </c>
      <c r="L135" t="s">
        <v>118</v>
      </c>
      <c r="M135">
        <v>1477000</v>
      </c>
      <c r="N135">
        <v>4310000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650000</v>
      </c>
      <c r="U135">
        <v>1613000</v>
      </c>
      <c r="V135">
        <v>175000</v>
      </c>
      <c r="W135">
        <v>0</v>
      </c>
      <c r="X135">
        <v>100000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84926</v>
      </c>
      <c r="BJ135">
        <v>0</v>
      </c>
      <c r="BK135">
        <v>0</v>
      </c>
      <c r="BL135">
        <v>100000</v>
      </c>
      <c r="BM135">
        <v>20000</v>
      </c>
      <c r="BN135">
        <v>1000</v>
      </c>
      <c r="BO135">
        <v>0</v>
      </c>
      <c r="BP135">
        <v>0</v>
      </c>
      <c r="BQ135">
        <v>308600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84926</v>
      </c>
      <c r="CM135">
        <v>139000</v>
      </c>
      <c r="CN135">
        <v>69500</v>
      </c>
      <c r="CO135">
        <v>69500</v>
      </c>
      <c r="CP135">
        <v>0</v>
      </c>
      <c r="CQ135">
        <v>22340</v>
      </c>
      <c r="CR135">
        <v>0</v>
      </c>
      <c r="CS135">
        <v>72605</v>
      </c>
      <c r="CT135">
        <v>0</v>
      </c>
      <c r="CU135">
        <v>0</v>
      </c>
      <c r="CV135">
        <v>20850</v>
      </c>
      <c r="CW135">
        <v>61855</v>
      </c>
      <c r="CX135">
        <v>257150</v>
      </c>
      <c r="CY135">
        <v>139000</v>
      </c>
      <c r="CZ135">
        <v>278000</v>
      </c>
      <c r="DA135">
        <v>0</v>
      </c>
      <c r="DB135">
        <v>44680</v>
      </c>
      <c r="DC135">
        <v>75956</v>
      </c>
      <c r="DD135">
        <v>0</v>
      </c>
      <c r="DE135">
        <v>0</v>
      </c>
      <c r="DF135">
        <v>0</v>
      </c>
      <c r="DG135">
        <v>0</v>
      </c>
      <c r="DH135" s="14">
        <v>7522455</v>
      </c>
      <c r="DI135" s="15" t="s">
        <v>789</v>
      </c>
      <c r="DJ135" s="11" t="str">
        <f t="shared" si="5"/>
        <v>JENNIFER NELSON</v>
      </c>
      <c r="DK135" s="16" t="s">
        <v>604</v>
      </c>
      <c r="DL135" s="17" t="s">
        <v>844</v>
      </c>
      <c r="DM135" s="16">
        <v>6211111</v>
      </c>
    </row>
    <row r="136" spans="1:117" x14ac:dyDescent="0.25">
      <c r="A136" s="11" t="str">
        <f t="shared" si="4"/>
        <v>JOSHUA ALLEN - UNIT WILAYAH UTARA</v>
      </c>
      <c r="B136" s="12">
        <v>11109566</v>
      </c>
      <c r="C136" s="12" t="s">
        <v>500</v>
      </c>
      <c r="D136" s="13" t="s">
        <v>226</v>
      </c>
      <c r="E136" t="s">
        <v>116</v>
      </c>
      <c r="F136" t="s">
        <v>351</v>
      </c>
      <c r="G136" t="s">
        <v>352</v>
      </c>
      <c r="H136" t="s">
        <v>355</v>
      </c>
      <c r="I136" t="s">
        <v>388</v>
      </c>
      <c r="J136" t="s">
        <v>427</v>
      </c>
      <c r="K136" t="s">
        <v>117</v>
      </c>
      <c r="L136" t="s">
        <v>118</v>
      </c>
      <c r="M136">
        <v>1336250</v>
      </c>
      <c r="N136">
        <v>4474650</v>
      </c>
      <c r="O136">
        <v>0</v>
      </c>
      <c r="P136">
        <v>0</v>
      </c>
      <c r="Q136">
        <v>0</v>
      </c>
      <c r="R136">
        <v>0</v>
      </c>
      <c r="S136">
        <v>2200000</v>
      </c>
      <c r="T136">
        <v>0</v>
      </c>
      <c r="U136">
        <v>1131000</v>
      </c>
      <c r="V136">
        <v>225000</v>
      </c>
      <c r="W136">
        <v>0</v>
      </c>
      <c r="X136">
        <v>900000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5739061</v>
      </c>
      <c r="BJ136">
        <v>0</v>
      </c>
      <c r="BK136">
        <v>0</v>
      </c>
      <c r="BL136">
        <v>100000</v>
      </c>
      <c r="BM136">
        <v>20000</v>
      </c>
      <c r="BN136">
        <v>1000</v>
      </c>
      <c r="BO136">
        <v>0</v>
      </c>
      <c r="BP136">
        <v>0</v>
      </c>
      <c r="BQ136">
        <v>101500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5739061</v>
      </c>
      <c r="CM136">
        <v>162100</v>
      </c>
      <c r="CN136">
        <v>81050</v>
      </c>
      <c r="CO136">
        <v>81050</v>
      </c>
      <c r="CP136">
        <v>0</v>
      </c>
      <c r="CQ136">
        <v>0</v>
      </c>
      <c r="CR136">
        <v>0</v>
      </c>
      <c r="CS136">
        <v>0</v>
      </c>
      <c r="CT136">
        <v>283675</v>
      </c>
      <c r="CU136">
        <v>0</v>
      </c>
      <c r="CV136">
        <v>24315</v>
      </c>
      <c r="CW136">
        <v>72135</v>
      </c>
      <c r="CX136">
        <v>299885</v>
      </c>
      <c r="CY136">
        <v>162100</v>
      </c>
      <c r="CZ136">
        <v>324200</v>
      </c>
      <c r="DA136">
        <v>0</v>
      </c>
      <c r="DB136">
        <v>0</v>
      </c>
      <c r="DC136">
        <v>0</v>
      </c>
      <c r="DD136">
        <v>0</v>
      </c>
      <c r="DE136">
        <v>607875</v>
      </c>
      <c r="DF136">
        <v>0</v>
      </c>
      <c r="DG136">
        <v>0</v>
      </c>
      <c r="DH136" s="14">
        <v>9436525</v>
      </c>
      <c r="DI136" s="15" t="s">
        <v>662</v>
      </c>
      <c r="DJ136" s="11" t="str">
        <f t="shared" si="5"/>
        <v>JOSHUA ALLEN</v>
      </c>
      <c r="DK136" s="16" t="s">
        <v>604</v>
      </c>
      <c r="DL136" s="17" t="s">
        <v>824</v>
      </c>
      <c r="DM136" s="16">
        <v>6211111</v>
      </c>
    </row>
    <row r="137" spans="1:117" x14ac:dyDescent="0.25">
      <c r="A137" s="11" t="str">
        <f t="shared" si="4"/>
        <v>MARGARET JACKSON - UNIT WILAYAH UTARA</v>
      </c>
      <c r="B137" s="12">
        <v>11113895</v>
      </c>
      <c r="C137" s="12" t="s">
        <v>543</v>
      </c>
      <c r="D137" s="13" t="s">
        <v>267</v>
      </c>
      <c r="E137" t="s">
        <v>116</v>
      </c>
      <c r="F137" t="s">
        <v>351</v>
      </c>
      <c r="G137" t="s">
        <v>352</v>
      </c>
      <c r="H137" t="s">
        <v>355</v>
      </c>
      <c r="I137" t="s">
        <v>388</v>
      </c>
      <c r="J137" t="s">
        <v>427</v>
      </c>
      <c r="K137" t="s">
        <v>119</v>
      </c>
      <c r="L137" t="s">
        <v>120</v>
      </c>
      <c r="M137">
        <v>0</v>
      </c>
      <c r="N137">
        <v>0</v>
      </c>
      <c r="O137">
        <v>0</v>
      </c>
      <c r="P137">
        <v>0</v>
      </c>
      <c r="Q137">
        <v>4961753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20000</v>
      </c>
      <c r="BN137">
        <v>1000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99235</v>
      </c>
      <c r="CN137">
        <v>49618</v>
      </c>
      <c r="CO137">
        <v>49618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14885</v>
      </c>
      <c r="CW137">
        <v>44160</v>
      </c>
      <c r="CX137">
        <v>183585</v>
      </c>
      <c r="CY137">
        <v>99235</v>
      </c>
      <c r="CZ137">
        <v>198470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 s="14">
        <v>4742282</v>
      </c>
      <c r="DI137" s="11" t="s">
        <v>707</v>
      </c>
      <c r="DJ137" s="11" t="str">
        <f t="shared" si="5"/>
        <v>MARGARET JACKSON</v>
      </c>
      <c r="DK137" s="16" t="s">
        <v>604</v>
      </c>
      <c r="DL137" s="16" t="s">
        <v>822</v>
      </c>
      <c r="DM137" s="16">
        <v>6211111</v>
      </c>
    </row>
    <row r="138" spans="1:117" x14ac:dyDescent="0.25">
      <c r="A138" s="11" t="str">
        <f t="shared" si="4"/>
        <v>MICHAEL CLARK - UNIT WILAYAH UTARA</v>
      </c>
      <c r="B138" s="12">
        <v>11102141</v>
      </c>
      <c r="C138" s="12" t="s">
        <v>594</v>
      </c>
      <c r="D138" s="13" t="s">
        <v>232</v>
      </c>
      <c r="E138" t="s">
        <v>116</v>
      </c>
      <c r="F138" t="s">
        <v>351</v>
      </c>
      <c r="G138" t="s">
        <v>352</v>
      </c>
      <c r="H138" t="s">
        <v>355</v>
      </c>
      <c r="I138" t="s">
        <v>388</v>
      </c>
      <c r="J138" t="s">
        <v>427</v>
      </c>
      <c r="K138" t="s">
        <v>117</v>
      </c>
      <c r="L138" t="s">
        <v>118</v>
      </c>
      <c r="M138">
        <v>1945250</v>
      </c>
      <c r="N138">
        <v>5793000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650000</v>
      </c>
      <c r="U138">
        <v>1613000</v>
      </c>
      <c r="V138">
        <v>175000</v>
      </c>
      <c r="W138">
        <v>0</v>
      </c>
      <c r="X138">
        <v>150000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1606317</v>
      </c>
      <c r="BJ138">
        <v>233858</v>
      </c>
      <c r="BK138">
        <v>0</v>
      </c>
      <c r="BL138">
        <v>100000</v>
      </c>
      <c r="BM138">
        <v>20000</v>
      </c>
      <c r="BN138">
        <v>1000</v>
      </c>
      <c r="BO138">
        <v>0</v>
      </c>
      <c r="BP138">
        <v>0</v>
      </c>
      <c r="BQ138">
        <v>921500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1606317</v>
      </c>
      <c r="CM138">
        <v>172100</v>
      </c>
      <c r="CN138">
        <v>86050</v>
      </c>
      <c r="CO138">
        <v>86050</v>
      </c>
      <c r="CP138">
        <v>0</v>
      </c>
      <c r="CQ138">
        <v>30280</v>
      </c>
      <c r="CR138">
        <v>0</v>
      </c>
      <c r="CS138">
        <v>98410</v>
      </c>
      <c r="CT138">
        <v>0</v>
      </c>
      <c r="CU138">
        <v>0</v>
      </c>
      <c r="CV138">
        <v>25815</v>
      </c>
      <c r="CW138">
        <v>76585</v>
      </c>
      <c r="CX138">
        <v>318385</v>
      </c>
      <c r="CY138">
        <v>172100</v>
      </c>
      <c r="CZ138">
        <v>344200</v>
      </c>
      <c r="DA138">
        <v>0</v>
      </c>
      <c r="DB138">
        <v>60560</v>
      </c>
      <c r="DC138">
        <v>102952</v>
      </c>
      <c r="DD138">
        <v>0</v>
      </c>
      <c r="DE138">
        <v>0</v>
      </c>
      <c r="DF138">
        <v>0</v>
      </c>
      <c r="DG138">
        <v>0</v>
      </c>
      <c r="DH138" s="14">
        <v>8577002</v>
      </c>
      <c r="DI138" s="15" t="s">
        <v>814</v>
      </c>
      <c r="DJ138" s="11" t="str">
        <f t="shared" si="5"/>
        <v>MICHAEL CLARK</v>
      </c>
      <c r="DK138" s="16" t="s">
        <v>604</v>
      </c>
      <c r="DL138" s="17" t="s">
        <v>857</v>
      </c>
      <c r="DM138" s="16">
        <v>6211111</v>
      </c>
    </row>
    <row r="139" spans="1:117" x14ac:dyDescent="0.25">
      <c r="A139" s="11" t="str">
        <f t="shared" si="4"/>
        <v>MICHAEL LOPEZ - UNIT WILAYAH UTARA</v>
      </c>
      <c r="B139" s="12">
        <v>11101978</v>
      </c>
      <c r="C139" s="12" t="s">
        <v>589</v>
      </c>
      <c r="D139" s="13" t="s">
        <v>280</v>
      </c>
      <c r="E139" t="s">
        <v>116</v>
      </c>
      <c r="F139" t="s">
        <v>351</v>
      </c>
      <c r="G139" t="s">
        <v>352</v>
      </c>
      <c r="H139" t="s">
        <v>355</v>
      </c>
      <c r="I139" t="s">
        <v>388</v>
      </c>
      <c r="J139" t="s">
        <v>427</v>
      </c>
      <c r="K139" t="s">
        <v>117</v>
      </c>
      <c r="L139" t="s">
        <v>118</v>
      </c>
      <c r="M139">
        <v>1517875</v>
      </c>
      <c r="N139">
        <v>4602600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650000</v>
      </c>
      <c r="U139">
        <v>1613000</v>
      </c>
      <c r="V139">
        <v>175000</v>
      </c>
      <c r="W139">
        <v>0</v>
      </c>
      <c r="X139">
        <v>150000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156621</v>
      </c>
      <c r="BJ139">
        <v>10000</v>
      </c>
      <c r="BK139">
        <v>0</v>
      </c>
      <c r="BL139">
        <v>100000</v>
      </c>
      <c r="BM139">
        <v>20000</v>
      </c>
      <c r="BN139">
        <v>1000</v>
      </c>
      <c r="BO139">
        <v>0</v>
      </c>
      <c r="BP139">
        <v>0</v>
      </c>
      <c r="BQ139">
        <v>126500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156621</v>
      </c>
      <c r="CM139">
        <v>142380</v>
      </c>
      <c r="CN139">
        <v>71190</v>
      </c>
      <c r="CO139">
        <v>71190</v>
      </c>
      <c r="CP139">
        <v>0</v>
      </c>
      <c r="CQ139">
        <v>22820</v>
      </c>
      <c r="CR139">
        <v>0</v>
      </c>
      <c r="CS139">
        <v>74165</v>
      </c>
      <c r="CT139">
        <v>0</v>
      </c>
      <c r="CU139">
        <v>0</v>
      </c>
      <c r="CV139">
        <v>21357</v>
      </c>
      <c r="CW139">
        <v>63359</v>
      </c>
      <c r="CX139">
        <v>263403</v>
      </c>
      <c r="CY139">
        <v>142380</v>
      </c>
      <c r="CZ139">
        <v>284760</v>
      </c>
      <c r="DA139">
        <v>0</v>
      </c>
      <c r="DB139">
        <v>45640</v>
      </c>
      <c r="DC139">
        <v>77588</v>
      </c>
      <c r="DD139">
        <v>0</v>
      </c>
      <c r="DE139">
        <v>0</v>
      </c>
      <c r="DF139">
        <v>0</v>
      </c>
      <c r="DG139">
        <v>0</v>
      </c>
      <c r="DH139" s="14">
        <v>8069230</v>
      </c>
      <c r="DI139" s="15" t="s">
        <v>809</v>
      </c>
      <c r="DJ139" s="11" t="str">
        <f t="shared" si="5"/>
        <v>MICHAEL LOPEZ</v>
      </c>
      <c r="DK139" s="16" t="s">
        <v>604</v>
      </c>
      <c r="DL139" s="17" t="s">
        <v>857</v>
      </c>
      <c r="DM139" s="16">
        <v>6211111</v>
      </c>
    </row>
    <row r="140" spans="1:117" x14ac:dyDescent="0.25">
      <c r="A140" s="11" t="str">
        <f t="shared" si="4"/>
        <v>PAUL NGUYEN - UNIT WILAYAH UTARA</v>
      </c>
      <c r="B140" s="12">
        <v>11100768</v>
      </c>
      <c r="C140" s="12">
        <v>11000768</v>
      </c>
      <c r="D140" s="13" t="s">
        <v>247</v>
      </c>
      <c r="E140" t="s">
        <v>124</v>
      </c>
      <c r="F140" t="s">
        <v>351</v>
      </c>
      <c r="G140" t="s">
        <v>352</v>
      </c>
      <c r="I140" t="s">
        <v>388</v>
      </c>
      <c r="J140" t="s">
        <v>427</v>
      </c>
      <c r="K140" t="s">
        <v>118</v>
      </c>
      <c r="L140" t="s">
        <v>125</v>
      </c>
      <c r="M140">
        <v>390000</v>
      </c>
      <c r="N140">
        <v>714000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 s="14">
        <v>1104000</v>
      </c>
      <c r="DI140" s="11" t="s">
        <v>605</v>
      </c>
      <c r="DJ140" s="11" t="str">
        <f t="shared" si="5"/>
        <v>PAUL NGUYEN</v>
      </c>
      <c r="DK140" s="16" t="s">
        <v>604</v>
      </c>
      <c r="DL140" s="16" t="s">
        <v>820</v>
      </c>
      <c r="DM140" s="16">
        <v>6211111</v>
      </c>
    </row>
    <row r="141" spans="1:117" x14ac:dyDescent="0.25">
      <c r="A141" s="11" t="str">
        <f t="shared" si="4"/>
        <v>STEVEN SMITH - UNIT WILAYAH UTARA</v>
      </c>
      <c r="B141" s="12">
        <v>11101630</v>
      </c>
      <c r="C141" s="12" t="s">
        <v>581</v>
      </c>
      <c r="D141" s="13" t="s">
        <v>348</v>
      </c>
      <c r="E141" t="s">
        <v>116</v>
      </c>
      <c r="F141" t="s">
        <v>351</v>
      </c>
      <c r="G141" t="s">
        <v>352</v>
      </c>
      <c r="H141" t="s">
        <v>355</v>
      </c>
      <c r="I141" t="s">
        <v>388</v>
      </c>
      <c r="J141" t="s">
        <v>427</v>
      </c>
      <c r="K141" t="s">
        <v>117</v>
      </c>
      <c r="L141" t="s">
        <v>118</v>
      </c>
      <c r="M141">
        <v>1564000</v>
      </c>
      <c r="N141">
        <v>4614000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650000</v>
      </c>
      <c r="U141">
        <v>1613000</v>
      </c>
      <c r="V141">
        <v>175000</v>
      </c>
      <c r="W141">
        <v>0</v>
      </c>
      <c r="X141">
        <v>150000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157673</v>
      </c>
      <c r="BJ141">
        <v>184449</v>
      </c>
      <c r="BK141">
        <v>0</v>
      </c>
      <c r="BL141">
        <v>100000</v>
      </c>
      <c r="BM141">
        <v>20000</v>
      </c>
      <c r="BN141">
        <v>1000</v>
      </c>
      <c r="BO141">
        <v>0</v>
      </c>
      <c r="BP141">
        <v>0</v>
      </c>
      <c r="BQ141">
        <v>101500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157673</v>
      </c>
      <c r="CM141">
        <v>144960</v>
      </c>
      <c r="CN141">
        <v>72480</v>
      </c>
      <c r="CO141">
        <v>72480</v>
      </c>
      <c r="CP141">
        <v>0</v>
      </c>
      <c r="CQ141">
        <v>23720</v>
      </c>
      <c r="CR141">
        <v>0</v>
      </c>
      <c r="CS141">
        <v>77090</v>
      </c>
      <c r="CT141">
        <v>0</v>
      </c>
      <c r="CU141">
        <v>0</v>
      </c>
      <c r="CV141">
        <v>21744</v>
      </c>
      <c r="CW141">
        <v>64507</v>
      </c>
      <c r="CX141">
        <v>268176</v>
      </c>
      <c r="CY141">
        <v>144960</v>
      </c>
      <c r="CZ141">
        <v>289920</v>
      </c>
      <c r="DA141">
        <v>0</v>
      </c>
      <c r="DB141">
        <v>47440</v>
      </c>
      <c r="DC141">
        <v>80648</v>
      </c>
      <c r="DD141">
        <v>0</v>
      </c>
      <c r="DE141">
        <v>0</v>
      </c>
      <c r="DF141">
        <v>0</v>
      </c>
      <c r="DG141">
        <v>0</v>
      </c>
      <c r="DH141" s="14">
        <v>7968321</v>
      </c>
      <c r="DI141" s="15" t="s">
        <v>801</v>
      </c>
      <c r="DJ141" s="11" t="str">
        <f t="shared" si="5"/>
        <v>STEVEN SMITH</v>
      </c>
      <c r="DK141" s="16" t="s">
        <v>604</v>
      </c>
      <c r="DL141" s="17" t="s">
        <v>848</v>
      </c>
      <c r="DM141" s="16">
        <v>6211111</v>
      </c>
    </row>
    <row r="142" spans="1:117" x14ac:dyDescent="0.25">
      <c r="A142" s="11" t="str">
        <f t="shared" si="4"/>
        <v>THOMAS GARCIA - UNIT WILAYAH UTARA</v>
      </c>
      <c r="B142" s="12">
        <v>111123030086</v>
      </c>
      <c r="C142" s="12">
        <v>111123030086</v>
      </c>
      <c r="D142" s="13" t="s">
        <v>272</v>
      </c>
      <c r="E142" t="s">
        <v>122</v>
      </c>
      <c r="F142" t="s">
        <v>351</v>
      </c>
      <c r="G142" t="s">
        <v>352</v>
      </c>
      <c r="H142" t="s">
        <v>356</v>
      </c>
      <c r="I142" t="s">
        <v>388</v>
      </c>
      <c r="J142" t="s">
        <v>427</v>
      </c>
      <c r="K142">
        <v>0</v>
      </c>
      <c r="L142" t="s">
        <v>123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3650000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36941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73000</v>
      </c>
      <c r="CN142">
        <v>36500</v>
      </c>
      <c r="CO142">
        <v>36500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 s="14">
        <v>3467059</v>
      </c>
      <c r="DI142" s="11" t="s">
        <v>620</v>
      </c>
      <c r="DJ142" s="11" t="str">
        <f t="shared" si="5"/>
        <v>THOMAS GARCIA</v>
      </c>
      <c r="DK142" s="16" t="s">
        <v>604</v>
      </c>
      <c r="DL142" s="16" t="s">
        <v>832</v>
      </c>
      <c r="DM142" s="16">
        <v>6211111</v>
      </c>
    </row>
    <row r="143" spans="1:117" x14ac:dyDescent="0.25">
      <c r="A143" s="11" t="str">
        <f t="shared" si="4"/>
        <v>ANTHONY YOUNG - UNIT WILAYAH UTARA</v>
      </c>
      <c r="B143" s="12">
        <v>11101716</v>
      </c>
      <c r="C143" s="12" t="s">
        <v>583</v>
      </c>
      <c r="D143" s="13" t="s">
        <v>158</v>
      </c>
      <c r="E143" t="s">
        <v>116</v>
      </c>
      <c r="F143" t="s">
        <v>351</v>
      </c>
      <c r="G143" t="s">
        <v>352</v>
      </c>
      <c r="H143" t="s">
        <v>355</v>
      </c>
      <c r="I143" t="s">
        <v>361</v>
      </c>
      <c r="J143" t="s">
        <v>428</v>
      </c>
      <c r="K143" t="s">
        <v>117</v>
      </c>
      <c r="L143" t="s">
        <v>118</v>
      </c>
      <c r="M143">
        <v>1715000</v>
      </c>
      <c r="N143">
        <v>5427000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650000</v>
      </c>
      <c r="U143">
        <v>1613000</v>
      </c>
      <c r="V143">
        <v>175000</v>
      </c>
      <c r="W143">
        <v>0</v>
      </c>
      <c r="X143">
        <v>150000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149621</v>
      </c>
      <c r="BJ143">
        <v>10000</v>
      </c>
      <c r="BK143">
        <v>0</v>
      </c>
      <c r="BL143">
        <v>100000</v>
      </c>
      <c r="BM143">
        <v>20000</v>
      </c>
      <c r="BN143">
        <v>1000</v>
      </c>
      <c r="BO143">
        <v>0</v>
      </c>
      <c r="BP143">
        <v>0</v>
      </c>
      <c r="BQ143">
        <v>126500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149621</v>
      </c>
      <c r="CM143">
        <v>159860</v>
      </c>
      <c r="CN143">
        <v>79930</v>
      </c>
      <c r="CO143">
        <v>79930</v>
      </c>
      <c r="CP143">
        <v>0</v>
      </c>
      <c r="CQ143">
        <v>25660</v>
      </c>
      <c r="CR143">
        <v>0</v>
      </c>
      <c r="CS143">
        <v>83395</v>
      </c>
      <c r="CT143">
        <v>0</v>
      </c>
      <c r="CU143">
        <v>0</v>
      </c>
      <c r="CV143">
        <v>23979</v>
      </c>
      <c r="CW143">
        <v>71138</v>
      </c>
      <c r="CX143">
        <v>295741</v>
      </c>
      <c r="CY143">
        <v>159860</v>
      </c>
      <c r="CZ143">
        <v>319720</v>
      </c>
      <c r="DA143">
        <v>0</v>
      </c>
      <c r="DB143">
        <v>51320</v>
      </c>
      <c r="DC143">
        <v>87244</v>
      </c>
      <c r="DD143">
        <v>0</v>
      </c>
      <c r="DE143">
        <v>0</v>
      </c>
      <c r="DF143">
        <v>0</v>
      </c>
      <c r="DG143">
        <v>0</v>
      </c>
      <c r="DH143" s="14">
        <v>9043725</v>
      </c>
      <c r="DI143" s="15" t="s">
        <v>803</v>
      </c>
      <c r="DJ143" s="11" t="str">
        <f t="shared" si="5"/>
        <v>ANTHONY YOUNG</v>
      </c>
      <c r="DK143" s="16" t="s">
        <v>604</v>
      </c>
      <c r="DL143" s="17" t="s">
        <v>846</v>
      </c>
      <c r="DM143" s="16">
        <v>6211111</v>
      </c>
    </row>
    <row r="144" spans="1:117" x14ac:dyDescent="0.25">
      <c r="A144" s="11" t="str">
        <f t="shared" si="4"/>
        <v>DONALD BROWN - UNIT WILAYAH UTARA</v>
      </c>
      <c r="B144" s="12">
        <v>11241101111104</v>
      </c>
      <c r="C144" s="12">
        <v>11241101111104</v>
      </c>
      <c r="D144" s="13" t="s">
        <v>334</v>
      </c>
      <c r="E144" t="s">
        <v>122</v>
      </c>
      <c r="F144" t="s">
        <v>351</v>
      </c>
      <c r="G144" t="s">
        <v>352</v>
      </c>
      <c r="H144" t="s">
        <v>356</v>
      </c>
      <c r="I144" t="s">
        <v>361</v>
      </c>
      <c r="J144" t="s">
        <v>428</v>
      </c>
      <c r="K144">
        <v>0</v>
      </c>
      <c r="L144" t="s">
        <v>123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3000000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 s="14">
        <v>3000000</v>
      </c>
      <c r="DI144" s="11" t="s">
        <v>638</v>
      </c>
      <c r="DJ144" s="11" t="str">
        <f t="shared" si="5"/>
        <v>DONALD BROWN</v>
      </c>
      <c r="DK144" s="16" t="s">
        <v>604</v>
      </c>
      <c r="DL144" s="16" t="s">
        <v>845</v>
      </c>
      <c r="DM144" s="16">
        <v>6211111</v>
      </c>
    </row>
    <row r="145" spans="1:117" x14ac:dyDescent="0.25">
      <c r="A145" s="11" t="str">
        <f t="shared" si="4"/>
        <v>JAMES DAVIS - UNIT WILAYAH UTARA</v>
      </c>
      <c r="B145" s="12">
        <v>111123050183</v>
      </c>
      <c r="C145" s="12">
        <v>111123050183</v>
      </c>
      <c r="D145" s="13" t="s">
        <v>249</v>
      </c>
      <c r="E145" t="s">
        <v>122</v>
      </c>
      <c r="F145" t="s">
        <v>351</v>
      </c>
      <c r="G145" t="s">
        <v>352</v>
      </c>
      <c r="H145" t="s">
        <v>356</v>
      </c>
      <c r="I145" t="s">
        <v>361</v>
      </c>
      <c r="J145" t="s">
        <v>428</v>
      </c>
      <c r="K145">
        <v>0</v>
      </c>
      <c r="L145" t="s">
        <v>123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3650000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73000</v>
      </c>
      <c r="CN145">
        <v>36500</v>
      </c>
      <c r="CO145">
        <v>36500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 s="14">
        <v>3504000</v>
      </c>
      <c r="DI145" s="11" t="s">
        <v>626</v>
      </c>
      <c r="DJ145" s="11" t="str">
        <f t="shared" si="5"/>
        <v>JAMES DAVIS</v>
      </c>
      <c r="DK145" s="16" t="s">
        <v>604</v>
      </c>
      <c r="DL145" s="16" t="s">
        <v>837</v>
      </c>
      <c r="DM145" s="16">
        <v>6211111</v>
      </c>
    </row>
    <row r="146" spans="1:117" x14ac:dyDescent="0.25">
      <c r="A146" s="11" t="str">
        <f t="shared" si="4"/>
        <v>JOHN JONES - UNIT WILAYAH UTARA</v>
      </c>
      <c r="B146" s="12">
        <v>11115903</v>
      </c>
      <c r="C146" s="12" t="s">
        <v>503</v>
      </c>
      <c r="D146" s="13" t="s">
        <v>146</v>
      </c>
      <c r="E146" t="s">
        <v>116</v>
      </c>
      <c r="F146" t="s">
        <v>351</v>
      </c>
      <c r="G146" t="s">
        <v>352</v>
      </c>
      <c r="H146" t="s">
        <v>355</v>
      </c>
      <c r="I146" t="s">
        <v>361</v>
      </c>
      <c r="J146" t="s">
        <v>428</v>
      </c>
      <c r="K146" t="s">
        <v>119</v>
      </c>
      <c r="L146" t="s">
        <v>120</v>
      </c>
      <c r="M146">
        <v>0</v>
      </c>
      <c r="N146">
        <v>0</v>
      </c>
      <c r="O146">
        <v>0</v>
      </c>
      <c r="P146">
        <v>0</v>
      </c>
      <c r="Q146">
        <v>4961753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20000</v>
      </c>
      <c r="BN146">
        <v>1000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99235</v>
      </c>
      <c r="CN146">
        <v>49618</v>
      </c>
      <c r="CO146">
        <v>49618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14885</v>
      </c>
      <c r="CW146">
        <v>44160</v>
      </c>
      <c r="CX146">
        <v>183585</v>
      </c>
      <c r="CY146">
        <v>99235</v>
      </c>
      <c r="CZ146">
        <v>198470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 s="14">
        <v>4742282</v>
      </c>
      <c r="DI146" s="11" t="s">
        <v>753</v>
      </c>
      <c r="DJ146" s="11" t="str">
        <f t="shared" si="5"/>
        <v>JOHN JONES</v>
      </c>
      <c r="DK146" s="16" t="s">
        <v>604</v>
      </c>
      <c r="DL146" s="16" t="s">
        <v>835</v>
      </c>
      <c r="DM146" s="16">
        <v>6211111</v>
      </c>
    </row>
    <row r="147" spans="1:117" x14ac:dyDescent="0.25">
      <c r="A147" s="11" t="str">
        <f t="shared" si="4"/>
        <v>KENNETH WHITE - UNIT WILAYAH UTARA</v>
      </c>
      <c r="B147" s="12">
        <v>11113888</v>
      </c>
      <c r="C147" s="12" t="s">
        <v>504</v>
      </c>
      <c r="D147" s="13" t="s">
        <v>214</v>
      </c>
      <c r="E147" t="s">
        <v>116</v>
      </c>
      <c r="F147" t="s">
        <v>351</v>
      </c>
      <c r="G147" t="s">
        <v>352</v>
      </c>
      <c r="H147" t="s">
        <v>355</v>
      </c>
      <c r="I147" t="s">
        <v>361</v>
      </c>
      <c r="J147" t="s">
        <v>428</v>
      </c>
      <c r="K147" t="s">
        <v>119</v>
      </c>
      <c r="L147" t="s">
        <v>120</v>
      </c>
      <c r="M147">
        <v>0</v>
      </c>
      <c r="N147">
        <v>0</v>
      </c>
      <c r="O147">
        <v>0</v>
      </c>
      <c r="P147">
        <v>0</v>
      </c>
      <c r="Q147">
        <v>5000000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483226</v>
      </c>
      <c r="BJ147">
        <v>16030</v>
      </c>
      <c r="BK147">
        <v>0</v>
      </c>
      <c r="BL147">
        <v>0</v>
      </c>
      <c r="BM147">
        <v>20000</v>
      </c>
      <c r="BN147">
        <v>1000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483226</v>
      </c>
      <c r="CM147">
        <v>100000</v>
      </c>
      <c r="CN147">
        <v>50000</v>
      </c>
      <c r="CO147">
        <v>50000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15000</v>
      </c>
      <c r="CW147">
        <v>44500</v>
      </c>
      <c r="CX147">
        <v>185000</v>
      </c>
      <c r="CY147">
        <v>100000</v>
      </c>
      <c r="CZ147">
        <v>200000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 s="14">
        <v>4762970</v>
      </c>
      <c r="DI147" s="11" t="s">
        <v>732</v>
      </c>
      <c r="DJ147" s="11" t="str">
        <f t="shared" si="5"/>
        <v>KENNETH WHITE</v>
      </c>
      <c r="DK147" s="16" t="s">
        <v>604</v>
      </c>
      <c r="DL147" s="16" t="s">
        <v>847</v>
      </c>
      <c r="DM147" s="16">
        <v>6211111</v>
      </c>
    </row>
    <row r="148" spans="1:117" x14ac:dyDescent="0.25">
      <c r="A148" s="11" t="str">
        <f t="shared" si="4"/>
        <v>PATRICIA NGUYEN - UNIT WILAYAH UTARA</v>
      </c>
      <c r="B148" s="12">
        <v>11113330</v>
      </c>
      <c r="C148" s="12" t="s">
        <v>544</v>
      </c>
      <c r="D148" s="13" t="s">
        <v>270</v>
      </c>
      <c r="E148" t="s">
        <v>116</v>
      </c>
      <c r="F148" t="s">
        <v>351</v>
      </c>
      <c r="G148" t="s">
        <v>352</v>
      </c>
      <c r="H148" t="s">
        <v>355</v>
      </c>
      <c r="I148" t="s">
        <v>361</v>
      </c>
      <c r="J148" t="s">
        <v>428</v>
      </c>
      <c r="K148" t="s">
        <v>117</v>
      </c>
      <c r="L148" t="s">
        <v>118</v>
      </c>
      <c r="M148">
        <v>1077500</v>
      </c>
      <c r="N148">
        <v>3663000</v>
      </c>
      <c r="O148">
        <v>0</v>
      </c>
      <c r="P148">
        <v>0</v>
      </c>
      <c r="Q148">
        <v>0</v>
      </c>
      <c r="R148">
        <v>0</v>
      </c>
      <c r="S148">
        <v>1300000</v>
      </c>
      <c r="T148">
        <v>0</v>
      </c>
      <c r="U148">
        <v>1486000</v>
      </c>
      <c r="V148">
        <v>200000</v>
      </c>
      <c r="W148">
        <v>0</v>
      </c>
      <c r="X148">
        <v>500000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489759</v>
      </c>
      <c r="BJ148">
        <v>444809</v>
      </c>
      <c r="BK148">
        <v>0</v>
      </c>
      <c r="BL148">
        <v>0</v>
      </c>
      <c r="BM148">
        <v>20000</v>
      </c>
      <c r="BN148">
        <v>1000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489759</v>
      </c>
      <c r="CM148">
        <v>133980</v>
      </c>
      <c r="CN148">
        <v>66990</v>
      </c>
      <c r="CO148">
        <v>66990</v>
      </c>
      <c r="CP148">
        <v>0</v>
      </c>
      <c r="CQ148">
        <v>0</v>
      </c>
      <c r="CR148">
        <v>0</v>
      </c>
      <c r="CS148">
        <v>0</v>
      </c>
      <c r="CT148">
        <v>234465</v>
      </c>
      <c r="CU148">
        <v>0</v>
      </c>
      <c r="CV148">
        <v>20097</v>
      </c>
      <c r="CW148">
        <v>59621</v>
      </c>
      <c r="CX148">
        <v>247863</v>
      </c>
      <c r="CY148">
        <v>133980</v>
      </c>
      <c r="CZ148">
        <v>267960</v>
      </c>
      <c r="DA148">
        <v>0</v>
      </c>
      <c r="DB148">
        <v>0</v>
      </c>
      <c r="DC148">
        <v>0</v>
      </c>
      <c r="DD148">
        <v>0</v>
      </c>
      <c r="DE148">
        <v>502425</v>
      </c>
      <c r="DF148">
        <v>0</v>
      </c>
      <c r="DG148">
        <v>0</v>
      </c>
      <c r="DH148" s="14">
        <v>7258266</v>
      </c>
      <c r="DI148" s="11" t="s">
        <v>704</v>
      </c>
      <c r="DJ148" s="11" t="str">
        <f t="shared" si="5"/>
        <v>PATRICIA NGUYEN</v>
      </c>
      <c r="DK148" s="16" t="s">
        <v>604</v>
      </c>
      <c r="DL148" s="16" t="s">
        <v>863</v>
      </c>
      <c r="DM148" s="16">
        <v>6211111</v>
      </c>
    </row>
    <row r="149" spans="1:117" x14ac:dyDescent="0.25">
      <c r="A149" s="11" t="str">
        <f t="shared" si="4"/>
        <v>AMANDA JACKSON - UNIT WILAYAH UTARA</v>
      </c>
      <c r="B149" s="12">
        <v>111123060213</v>
      </c>
      <c r="C149" s="12">
        <v>111123060213</v>
      </c>
      <c r="D149" s="13" t="s">
        <v>330</v>
      </c>
      <c r="E149" t="s">
        <v>122</v>
      </c>
      <c r="F149" t="s">
        <v>351</v>
      </c>
      <c r="G149" t="s">
        <v>352</v>
      </c>
      <c r="H149" t="s">
        <v>356</v>
      </c>
      <c r="I149" t="s">
        <v>374</v>
      </c>
      <c r="J149" t="s">
        <v>429</v>
      </c>
      <c r="K149">
        <v>0</v>
      </c>
      <c r="L149" t="s">
        <v>123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3650000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73000</v>
      </c>
      <c r="CN149">
        <v>36500</v>
      </c>
      <c r="CO149">
        <v>36500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 s="14">
        <v>3504000</v>
      </c>
      <c r="DI149" s="11" t="s">
        <v>628</v>
      </c>
      <c r="DJ149" s="11" t="str">
        <f t="shared" si="5"/>
        <v>AMANDA JACKSON</v>
      </c>
      <c r="DK149" s="16" t="s">
        <v>604</v>
      </c>
      <c r="DL149" s="16" t="s">
        <v>838</v>
      </c>
      <c r="DM149" s="16">
        <v>6211111</v>
      </c>
    </row>
    <row r="150" spans="1:117" x14ac:dyDescent="0.25">
      <c r="A150" s="11" t="str">
        <f t="shared" si="4"/>
        <v>GEORGE NGUYEN - UNIT WILAYAH UTARA</v>
      </c>
      <c r="B150" s="12">
        <v>11113903</v>
      </c>
      <c r="C150" s="12" t="s">
        <v>596</v>
      </c>
      <c r="D150" s="13" t="s">
        <v>292</v>
      </c>
      <c r="E150" t="s">
        <v>116</v>
      </c>
      <c r="F150" t="s">
        <v>351</v>
      </c>
      <c r="G150" t="s">
        <v>352</v>
      </c>
      <c r="H150" t="s">
        <v>355</v>
      </c>
      <c r="I150" t="s">
        <v>374</v>
      </c>
      <c r="J150" t="s">
        <v>429</v>
      </c>
      <c r="K150" t="s">
        <v>119</v>
      </c>
      <c r="L150" t="s">
        <v>120</v>
      </c>
      <c r="M150">
        <v>0</v>
      </c>
      <c r="N150">
        <v>0</v>
      </c>
      <c r="O150">
        <v>0</v>
      </c>
      <c r="P150">
        <v>0</v>
      </c>
      <c r="Q150">
        <v>5000000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107133</v>
      </c>
      <c r="BK150">
        <v>0</v>
      </c>
      <c r="BL150">
        <v>0</v>
      </c>
      <c r="BM150">
        <v>20000</v>
      </c>
      <c r="BN150">
        <v>1000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100000</v>
      </c>
      <c r="CN150">
        <v>50000</v>
      </c>
      <c r="CO150">
        <v>50000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15000</v>
      </c>
      <c r="CW150">
        <v>44500</v>
      </c>
      <c r="CX150">
        <v>185000</v>
      </c>
      <c r="CY150">
        <v>100000</v>
      </c>
      <c r="CZ150">
        <v>200000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 s="14">
        <v>4671867</v>
      </c>
      <c r="DI150" s="11" t="s">
        <v>816</v>
      </c>
      <c r="DJ150" s="11" t="str">
        <f t="shared" si="5"/>
        <v>GEORGE NGUYEN</v>
      </c>
      <c r="DK150" s="16" t="s">
        <v>604</v>
      </c>
      <c r="DL150" s="16" t="s">
        <v>851</v>
      </c>
      <c r="DM150" s="16">
        <v>6211111</v>
      </c>
    </row>
    <row r="151" spans="1:117" x14ac:dyDescent="0.25">
      <c r="A151" s="11" t="str">
        <f t="shared" si="4"/>
        <v>JESSICA HALL - UNIT WILAYAH UTARA</v>
      </c>
      <c r="B151" s="12">
        <v>11111394</v>
      </c>
      <c r="C151" s="12" t="s">
        <v>506</v>
      </c>
      <c r="D151" s="13" t="s">
        <v>173</v>
      </c>
      <c r="E151" t="s">
        <v>116</v>
      </c>
      <c r="F151" t="s">
        <v>351</v>
      </c>
      <c r="G151" t="s">
        <v>352</v>
      </c>
      <c r="H151" t="s">
        <v>355</v>
      </c>
      <c r="I151" t="s">
        <v>374</v>
      </c>
      <c r="J151" t="s">
        <v>429</v>
      </c>
      <c r="K151" t="s">
        <v>117</v>
      </c>
      <c r="L151" t="s">
        <v>118</v>
      </c>
      <c r="M151">
        <v>1339250</v>
      </c>
      <c r="N151">
        <v>4454450</v>
      </c>
      <c r="O151">
        <v>0</v>
      </c>
      <c r="P151">
        <v>0</v>
      </c>
      <c r="Q151">
        <v>0</v>
      </c>
      <c r="R151">
        <v>0</v>
      </c>
      <c r="S151">
        <v>1800000</v>
      </c>
      <c r="T151">
        <v>0</v>
      </c>
      <c r="U151">
        <v>1131000</v>
      </c>
      <c r="V151">
        <v>225000</v>
      </c>
      <c r="W151">
        <v>0</v>
      </c>
      <c r="X151">
        <v>600000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5559598</v>
      </c>
      <c r="BJ151">
        <v>10000</v>
      </c>
      <c r="BK151">
        <v>0</v>
      </c>
      <c r="BL151">
        <v>0</v>
      </c>
      <c r="BM151">
        <v>20000</v>
      </c>
      <c r="BN151">
        <v>1000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5559598</v>
      </c>
      <c r="CM151">
        <v>154100</v>
      </c>
      <c r="CN151">
        <v>77050</v>
      </c>
      <c r="CO151">
        <v>77050</v>
      </c>
      <c r="CP151">
        <v>0</v>
      </c>
      <c r="CQ151">
        <v>0</v>
      </c>
      <c r="CR151">
        <v>0</v>
      </c>
      <c r="CS151">
        <v>0</v>
      </c>
      <c r="CT151">
        <v>269675</v>
      </c>
      <c r="CU151">
        <v>0</v>
      </c>
      <c r="CV151">
        <v>23115</v>
      </c>
      <c r="CW151">
        <v>68575</v>
      </c>
      <c r="CX151">
        <v>285085</v>
      </c>
      <c r="CY151">
        <v>154100</v>
      </c>
      <c r="CZ151">
        <v>308200</v>
      </c>
      <c r="DA151">
        <v>0</v>
      </c>
      <c r="DB151">
        <v>0</v>
      </c>
      <c r="DC151">
        <v>0</v>
      </c>
      <c r="DD151">
        <v>0</v>
      </c>
      <c r="DE151">
        <v>577875</v>
      </c>
      <c r="DF151">
        <v>0</v>
      </c>
      <c r="DG151">
        <v>0</v>
      </c>
      <c r="DH151" s="14">
        <v>8940825</v>
      </c>
      <c r="DI151" s="15" t="s">
        <v>687</v>
      </c>
      <c r="DJ151" s="11" t="str">
        <f t="shared" si="5"/>
        <v>JESSICA HALL</v>
      </c>
      <c r="DK151" s="16" t="s">
        <v>604</v>
      </c>
      <c r="DL151" s="17" t="s">
        <v>826</v>
      </c>
      <c r="DM151" s="16">
        <v>6211111</v>
      </c>
    </row>
    <row r="152" spans="1:117" x14ac:dyDescent="0.25">
      <c r="A152" s="11" t="str">
        <f t="shared" si="4"/>
        <v>JOHN LOPEZ - UNIT WILAYAH UTARA</v>
      </c>
      <c r="B152" s="12">
        <v>11113882</v>
      </c>
      <c r="C152" s="12" t="s">
        <v>505</v>
      </c>
      <c r="D152" s="13" t="s">
        <v>160</v>
      </c>
      <c r="E152" t="s">
        <v>116</v>
      </c>
      <c r="F152" t="s">
        <v>351</v>
      </c>
      <c r="G152" t="s">
        <v>352</v>
      </c>
      <c r="H152" t="s">
        <v>355</v>
      </c>
      <c r="I152" t="s">
        <v>374</v>
      </c>
      <c r="J152" t="s">
        <v>429</v>
      </c>
      <c r="K152" t="s">
        <v>119</v>
      </c>
      <c r="L152" t="s">
        <v>120</v>
      </c>
      <c r="M152">
        <v>0</v>
      </c>
      <c r="N152">
        <v>0</v>
      </c>
      <c r="O152">
        <v>0</v>
      </c>
      <c r="P152">
        <v>0</v>
      </c>
      <c r="Q152">
        <v>4961753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20000</v>
      </c>
      <c r="BN152">
        <v>1000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99235</v>
      </c>
      <c r="CN152">
        <v>49618</v>
      </c>
      <c r="CO152">
        <v>49618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14885</v>
      </c>
      <c r="CW152">
        <v>44160</v>
      </c>
      <c r="CX152">
        <v>183585</v>
      </c>
      <c r="CY152">
        <v>99235</v>
      </c>
      <c r="CZ152">
        <v>198470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 s="14">
        <v>4742282</v>
      </c>
      <c r="DI152" s="11" t="s">
        <v>708</v>
      </c>
      <c r="DJ152" s="11" t="str">
        <f t="shared" si="5"/>
        <v>JOHN LOPEZ</v>
      </c>
      <c r="DK152" s="16" t="s">
        <v>604</v>
      </c>
      <c r="DL152" s="16" t="s">
        <v>835</v>
      </c>
      <c r="DM152" s="16">
        <v>6211111</v>
      </c>
    </row>
    <row r="153" spans="1:117" x14ac:dyDescent="0.25">
      <c r="A153" s="11" t="str">
        <f t="shared" si="4"/>
        <v>MICHAEL ANDERSON - UNIT WILAYAH UTARA</v>
      </c>
      <c r="B153" s="12">
        <v>11113899</v>
      </c>
      <c r="C153" s="12" t="s">
        <v>507</v>
      </c>
      <c r="D153" s="13" t="s">
        <v>206</v>
      </c>
      <c r="E153" t="s">
        <v>116</v>
      </c>
      <c r="F153" t="s">
        <v>351</v>
      </c>
      <c r="G153" t="s">
        <v>352</v>
      </c>
      <c r="H153" t="s">
        <v>355</v>
      </c>
      <c r="I153" t="s">
        <v>374</v>
      </c>
      <c r="J153" t="s">
        <v>429</v>
      </c>
      <c r="K153" t="s">
        <v>119</v>
      </c>
      <c r="L153" t="s">
        <v>120</v>
      </c>
      <c r="M153">
        <v>0</v>
      </c>
      <c r="N153">
        <v>0</v>
      </c>
      <c r="O153">
        <v>0</v>
      </c>
      <c r="P153">
        <v>0</v>
      </c>
      <c r="Q153">
        <v>4961753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20000</v>
      </c>
      <c r="BN153">
        <v>1000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99235</v>
      </c>
      <c r="CN153">
        <v>49618</v>
      </c>
      <c r="CO153">
        <v>49618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14885</v>
      </c>
      <c r="CW153">
        <v>44160</v>
      </c>
      <c r="CX153">
        <v>183585</v>
      </c>
      <c r="CY153">
        <v>99235</v>
      </c>
      <c r="CZ153">
        <v>198470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 s="14">
        <v>4742282</v>
      </c>
      <c r="DI153" s="11" t="s">
        <v>713</v>
      </c>
      <c r="DJ153" s="11" t="str">
        <f t="shared" si="5"/>
        <v>MICHAEL ANDERSON</v>
      </c>
      <c r="DK153" s="16" t="s">
        <v>604</v>
      </c>
      <c r="DL153" s="16" t="s">
        <v>857</v>
      </c>
      <c r="DM153" s="16">
        <v>6211111</v>
      </c>
    </row>
    <row r="154" spans="1:117" x14ac:dyDescent="0.25">
      <c r="A154" s="11" t="str">
        <f t="shared" si="4"/>
        <v>CHARLES GONZALEZ - UNIT WILAYAH UTARA</v>
      </c>
      <c r="B154" s="12">
        <v>11117107</v>
      </c>
      <c r="C154" s="12" t="s">
        <v>121</v>
      </c>
      <c r="D154" s="13" t="s">
        <v>277</v>
      </c>
      <c r="E154" t="s">
        <v>116</v>
      </c>
      <c r="F154" t="s">
        <v>351</v>
      </c>
      <c r="G154" t="s">
        <v>352</v>
      </c>
      <c r="H154" t="s">
        <v>355</v>
      </c>
      <c r="I154" t="s">
        <v>390</v>
      </c>
      <c r="J154" t="s">
        <v>403</v>
      </c>
      <c r="K154" t="s">
        <v>119</v>
      </c>
      <c r="L154" t="s">
        <v>120</v>
      </c>
      <c r="M154">
        <v>0</v>
      </c>
      <c r="N154">
        <v>0</v>
      </c>
      <c r="O154">
        <v>0</v>
      </c>
      <c r="P154">
        <v>0</v>
      </c>
      <c r="Q154">
        <v>9020518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162582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162582</v>
      </c>
      <c r="CM154">
        <v>180410</v>
      </c>
      <c r="CN154">
        <v>90205</v>
      </c>
      <c r="CO154">
        <v>89397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27062</v>
      </c>
      <c r="CW154">
        <v>80283</v>
      </c>
      <c r="CX154">
        <v>333759</v>
      </c>
      <c r="CY154">
        <v>178794</v>
      </c>
      <c r="CZ154">
        <v>360821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 s="14">
        <v>8660506</v>
      </c>
      <c r="DI154" s="11" t="s">
        <v>649</v>
      </c>
      <c r="DJ154" s="11" t="str">
        <f t="shared" si="5"/>
        <v>CHARLES GONZALEZ</v>
      </c>
      <c r="DK154" s="16" t="s">
        <v>604</v>
      </c>
      <c r="DL154" s="16" t="s">
        <v>852</v>
      </c>
      <c r="DM154" s="16">
        <v>6211111</v>
      </c>
    </row>
    <row r="155" spans="1:117" x14ac:dyDescent="0.25">
      <c r="A155" s="11" t="str">
        <f t="shared" si="4"/>
        <v>DAVID HALL - UNIT WILAYAH UTARA</v>
      </c>
      <c r="B155" s="12">
        <v>11115114</v>
      </c>
      <c r="C155" s="12" t="s">
        <v>444</v>
      </c>
      <c r="D155" s="13" t="s">
        <v>199</v>
      </c>
      <c r="E155" t="s">
        <v>116</v>
      </c>
      <c r="F155" t="s">
        <v>351</v>
      </c>
      <c r="G155" t="s">
        <v>352</v>
      </c>
      <c r="H155" t="s">
        <v>355</v>
      </c>
      <c r="I155" t="s">
        <v>390</v>
      </c>
      <c r="J155" t="s">
        <v>403</v>
      </c>
      <c r="K155" t="s">
        <v>119</v>
      </c>
      <c r="L155" t="s">
        <v>120</v>
      </c>
      <c r="M155">
        <v>0</v>
      </c>
      <c r="N155">
        <v>0</v>
      </c>
      <c r="O155">
        <v>0</v>
      </c>
      <c r="P155">
        <v>0</v>
      </c>
      <c r="Q155">
        <v>6000000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45879</v>
      </c>
      <c r="BJ155">
        <v>469610</v>
      </c>
      <c r="BK155">
        <v>0</v>
      </c>
      <c r="BL155">
        <v>0</v>
      </c>
      <c r="BM155">
        <v>20000</v>
      </c>
      <c r="BN155">
        <v>1000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45879</v>
      </c>
      <c r="CM155">
        <v>120000</v>
      </c>
      <c r="CN155">
        <v>60000</v>
      </c>
      <c r="CO155">
        <v>60000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18000</v>
      </c>
      <c r="CW155">
        <v>53400</v>
      </c>
      <c r="CX155">
        <v>222000</v>
      </c>
      <c r="CY155">
        <v>120000</v>
      </c>
      <c r="CZ155">
        <v>240000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 s="14">
        <v>5269390</v>
      </c>
      <c r="DI155" s="11" t="s">
        <v>742</v>
      </c>
      <c r="DJ155" s="11" t="str">
        <f t="shared" si="5"/>
        <v>DAVID HALL</v>
      </c>
      <c r="DK155" s="16" t="s">
        <v>604</v>
      </c>
      <c r="DL155" s="16" t="s">
        <v>840</v>
      </c>
      <c r="DM155" s="16">
        <v>6211111</v>
      </c>
    </row>
    <row r="156" spans="1:117" x14ac:dyDescent="0.25">
      <c r="A156" s="11" t="str">
        <f t="shared" si="4"/>
        <v>SUSAN JACKSON - UNIT WILAYAH UTARA</v>
      </c>
      <c r="B156" s="12">
        <v>11101111</v>
      </c>
      <c r="C156" s="12" t="s">
        <v>591</v>
      </c>
      <c r="D156" s="13" t="s">
        <v>245</v>
      </c>
      <c r="E156" t="s">
        <v>116</v>
      </c>
      <c r="F156" t="s">
        <v>351</v>
      </c>
      <c r="G156" t="s">
        <v>352</v>
      </c>
      <c r="H156" t="s">
        <v>355</v>
      </c>
      <c r="I156" t="s">
        <v>390</v>
      </c>
      <c r="J156" t="s">
        <v>403</v>
      </c>
      <c r="K156" t="s">
        <v>117</v>
      </c>
      <c r="L156" t="s">
        <v>118</v>
      </c>
      <c r="M156">
        <v>1532500</v>
      </c>
      <c r="N156">
        <v>4614000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650000</v>
      </c>
      <c r="U156">
        <v>1613000</v>
      </c>
      <c r="V156">
        <v>175000</v>
      </c>
      <c r="W156">
        <v>0</v>
      </c>
      <c r="X156">
        <v>150000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157112</v>
      </c>
      <c r="BJ156">
        <v>63586</v>
      </c>
      <c r="BK156">
        <v>0</v>
      </c>
      <c r="BL156">
        <v>100000</v>
      </c>
      <c r="BM156">
        <v>20000</v>
      </c>
      <c r="BN156">
        <v>1000</v>
      </c>
      <c r="BO156">
        <v>0</v>
      </c>
      <c r="BP156">
        <v>0</v>
      </c>
      <c r="BQ156">
        <v>1991500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157112</v>
      </c>
      <c r="CM156">
        <v>144960</v>
      </c>
      <c r="CN156">
        <v>72480</v>
      </c>
      <c r="CO156">
        <v>72480</v>
      </c>
      <c r="CP156">
        <v>0</v>
      </c>
      <c r="CQ156">
        <v>23720</v>
      </c>
      <c r="CR156">
        <v>0</v>
      </c>
      <c r="CS156">
        <v>77090</v>
      </c>
      <c r="CT156">
        <v>0</v>
      </c>
      <c r="CU156">
        <v>0</v>
      </c>
      <c r="CV156">
        <v>21744</v>
      </c>
      <c r="CW156">
        <v>64507</v>
      </c>
      <c r="CX156">
        <v>268176</v>
      </c>
      <c r="CY156">
        <v>144960</v>
      </c>
      <c r="CZ156">
        <v>289920</v>
      </c>
      <c r="DA156">
        <v>0</v>
      </c>
      <c r="DB156">
        <v>47440</v>
      </c>
      <c r="DC156">
        <v>80648</v>
      </c>
      <c r="DD156">
        <v>0</v>
      </c>
      <c r="DE156">
        <v>0</v>
      </c>
      <c r="DF156">
        <v>0</v>
      </c>
      <c r="DG156">
        <v>0</v>
      </c>
      <c r="DH156" s="14">
        <v>6167684</v>
      </c>
      <c r="DI156" s="15" t="s">
        <v>811</v>
      </c>
      <c r="DJ156" s="11" t="str">
        <f t="shared" si="5"/>
        <v>SUSAN JACKSON</v>
      </c>
      <c r="DK156" s="16" t="s">
        <v>604</v>
      </c>
      <c r="DL156" s="17" t="s">
        <v>833</v>
      </c>
      <c r="DM156" s="16">
        <v>6211111</v>
      </c>
    </row>
    <row r="157" spans="1:117" x14ac:dyDescent="0.25">
      <c r="A157" s="11" t="str">
        <f t="shared" si="4"/>
        <v>CAROL RIVERA - UNIT WILAYAH UTARA</v>
      </c>
      <c r="B157" s="12">
        <v>11106611</v>
      </c>
      <c r="C157" s="12" t="s">
        <v>509</v>
      </c>
      <c r="D157" s="13" t="s">
        <v>305</v>
      </c>
      <c r="E157" t="s">
        <v>116</v>
      </c>
      <c r="F157" t="s">
        <v>351</v>
      </c>
      <c r="G157" t="s">
        <v>352</v>
      </c>
      <c r="H157" t="s">
        <v>358</v>
      </c>
      <c r="I157" t="s">
        <v>391</v>
      </c>
      <c r="J157" t="s">
        <v>430</v>
      </c>
      <c r="K157" t="s">
        <v>117</v>
      </c>
      <c r="L157" t="s">
        <v>118</v>
      </c>
      <c r="M157">
        <v>1322000</v>
      </c>
      <c r="N157">
        <v>5360000</v>
      </c>
      <c r="O157">
        <v>0</v>
      </c>
      <c r="P157">
        <v>0</v>
      </c>
      <c r="Q157">
        <v>0</v>
      </c>
      <c r="R157">
        <v>0</v>
      </c>
      <c r="S157">
        <v>1800000</v>
      </c>
      <c r="T157">
        <v>0</v>
      </c>
      <c r="U157">
        <v>1131000</v>
      </c>
      <c r="V157">
        <v>225000</v>
      </c>
      <c r="W157">
        <v>0</v>
      </c>
      <c r="X157">
        <v>600000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1124895</v>
      </c>
      <c r="BJ157">
        <v>10000</v>
      </c>
      <c r="BK157">
        <v>0</v>
      </c>
      <c r="BL157">
        <v>0</v>
      </c>
      <c r="BM157">
        <v>20000</v>
      </c>
      <c r="BN157">
        <v>1000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1124895</v>
      </c>
      <c r="CM157">
        <v>166460</v>
      </c>
      <c r="CN157">
        <v>83230</v>
      </c>
      <c r="CO157">
        <v>83230</v>
      </c>
      <c r="CP157">
        <v>0</v>
      </c>
      <c r="CQ157">
        <v>0</v>
      </c>
      <c r="CR157">
        <v>0</v>
      </c>
      <c r="CS157">
        <v>0</v>
      </c>
      <c r="CT157">
        <v>291305</v>
      </c>
      <c r="CU157">
        <v>0</v>
      </c>
      <c r="CV157">
        <v>24969</v>
      </c>
      <c r="CW157">
        <v>74075</v>
      </c>
      <c r="CX157">
        <v>307951</v>
      </c>
      <c r="CY157">
        <v>166460</v>
      </c>
      <c r="CZ157">
        <v>332920</v>
      </c>
      <c r="DA157">
        <v>0</v>
      </c>
      <c r="DB157">
        <v>0</v>
      </c>
      <c r="DC157">
        <v>0</v>
      </c>
      <c r="DD157">
        <v>0</v>
      </c>
      <c r="DE157">
        <v>624225</v>
      </c>
      <c r="DF157">
        <v>0</v>
      </c>
      <c r="DG157">
        <v>0</v>
      </c>
      <c r="DH157" s="14">
        <v>9782775</v>
      </c>
      <c r="DI157" s="15" t="s">
        <v>681</v>
      </c>
      <c r="DJ157" s="11" t="str">
        <f t="shared" si="5"/>
        <v>CAROL RIVERA</v>
      </c>
      <c r="DK157" s="16" t="s">
        <v>604</v>
      </c>
      <c r="DL157" s="17" t="s">
        <v>829</v>
      </c>
      <c r="DM157" s="16">
        <v>6211111</v>
      </c>
    </row>
    <row r="158" spans="1:117" x14ac:dyDescent="0.25">
      <c r="A158" s="11" t="str">
        <f t="shared" si="4"/>
        <v>GEORGE FLORES - UNIT WILAYAH UTARA</v>
      </c>
      <c r="B158" s="12">
        <v>11115541</v>
      </c>
      <c r="C158" s="12" t="s">
        <v>508</v>
      </c>
      <c r="D158" s="13" t="s">
        <v>201</v>
      </c>
      <c r="E158" t="s">
        <v>116</v>
      </c>
      <c r="F158" t="s">
        <v>351</v>
      </c>
      <c r="G158" t="s">
        <v>352</v>
      </c>
      <c r="H158" t="s">
        <v>355</v>
      </c>
      <c r="I158" t="s">
        <v>391</v>
      </c>
      <c r="J158" t="s">
        <v>430</v>
      </c>
      <c r="K158" t="s">
        <v>117</v>
      </c>
      <c r="L158" t="s">
        <v>118</v>
      </c>
      <c r="M158">
        <v>605000</v>
      </c>
      <c r="N158">
        <v>1808000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650000</v>
      </c>
      <c r="U158">
        <v>1613000</v>
      </c>
      <c r="V158">
        <v>175000</v>
      </c>
      <c r="W158">
        <v>0</v>
      </c>
      <c r="X158">
        <v>150000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63638</v>
      </c>
      <c r="BK158">
        <v>0</v>
      </c>
      <c r="BL158">
        <v>0</v>
      </c>
      <c r="BM158">
        <v>20000</v>
      </c>
      <c r="BN158">
        <v>1000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97020</v>
      </c>
      <c r="CN158">
        <v>48510</v>
      </c>
      <c r="CO158">
        <v>48510</v>
      </c>
      <c r="CP158">
        <v>0</v>
      </c>
      <c r="CQ158">
        <v>0</v>
      </c>
      <c r="CR158">
        <v>0</v>
      </c>
      <c r="CS158">
        <v>0</v>
      </c>
      <c r="CT158">
        <v>169785</v>
      </c>
      <c r="CU158">
        <v>0</v>
      </c>
      <c r="CV158">
        <v>14553</v>
      </c>
      <c r="CW158">
        <v>43174</v>
      </c>
      <c r="CX158">
        <v>179487</v>
      </c>
      <c r="CY158">
        <v>97020</v>
      </c>
      <c r="CZ158">
        <v>194040</v>
      </c>
      <c r="DA158">
        <v>0</v>
      </c>
      <c r="DB158">
        <v>0</v>
      </c>
      <c r="DC158">
        <v>0</v>
      </c>
      <c r="DD158">
        <v>0</v>
      </c>
      <c r="DE158">
        <v>363825</v>
      </c>
      <c r="DF158">
        <v>0</v>
      </c>
      <c r="DG158">
        <v>0</v>
      </c>
      <c r="DH158" s="14">
        <v>4552537</v>
      </c>
      <c r="DI158" s="11" t="s">
        <v>760</v>
      </c>
      <c r="DJ158" s="11" t="str">
        <f t="shared" si="5"/>
        <v>GEORGE FLORES</v>
      </c>
      <c r="DK158" s="16" t="s">
        <v>604</v>
      </c>
      <c r="DL158" s="16" t="s">
        <v>851</v>
      </c>
      <c r="DM158" s="16">
        <v>6211111</v>
      </c>
    </row>
    <row r="159" spans="1:117" x14ac:dyDescent="0.25">
      <c r="A159" s="11" t="str">
        <f t="shared" si="4"/>
        <v>JAMES NGUYEN - UNIT WILAYAH UTARA</v>
      </c>
      <c r="B159" s="12">
        <v>111123110067</v>
      </c>
      <c r="C159" s="12">
        <v>111123110067</v>
      </c>
      <c r="D159" s="13" t="s">
        <v>254</v>
      </c>
      <c r="E159" t="s">
        <v>122</v>
      </c>
      <c r="F159" t="s">
        <v>351</v>
      </c>
      <c r="G159" t="s">
        <v>352</v>
      </c>
      <c r="H159" t="s">
        <v>356</v>
      </c>
      <c r="I159" t="s">
        <v>391</v>
      </c>
      <c r="J159" t="s">
        <v>430</v>
      </c>
      <c r="K159">
        <v>0</v>
      </c>
      <c r="L159" t="s">
        <v>123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3650000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179165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73000</v>
      </c>
      <c r="CN159">
        <v>36500</v>
      </c>
      <c r="CO159">
        <v>36500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 s="14">
        <v>3324835</v>
      </c>
      <c r="DI159" s="11" t="s">
        <v>633</v>
      </c>
      <c r="DJ159" s="11" t="str">
        <f t="shared" si="5"/>
        <v>JAMES NGUYEN</v>
      </c>
      <c r="DK159" s="16" t="s">
        <v>604</v>
      </c>
      <c r="DL159" s="16" t="s">
        <v>837</v>
      </c>
      <c r="DM159" s="16">
        <v>6211111</v>
      </c>
    </row>
    <row r="160" spans="1:117" x14ac:dyDescent="0.25">
      <c r="A160" s="11" t="str">
        <f t="shared" si="4"/>
        <v>WILLIAM WILSON - UNIT WILAYAH UTARA</v>
      </c>
      <c r="B160" s="12">
        <v>11116079</v>
      </c>
      <c r="C160" s="12" t="s">
        <v>599</v>
      </c>
      <c r="D160" s="13" t="s">
        <v>282</v>
      </c>
      <c r="E160" t="s">
        <v>116</v>
      </c>
      <c r="F160" t="s">
        <v>351</v>
      </c>
      <c r="G160" t="s">
        <v>352</v>
      </c>
      <c r="H160" t="s">
        <v>355</v>
      </c>
      <c r="I160" t="s">
        <v>391</v>
      </c>
      <c r="J160" t="s">
        <v>430</v>
      </c>
      <c r="K160" t="s">
        <v>119</v>
      </c>
      <c r="L160" t="s">
        <v>120</v>
      </c>
      <c r="M160">
        <v>0</v>
      </c>
      <c r="N160">
        <v>0</v>
      </c>
      <c r="O160">
        <v>0</v>
      </c>
      <c r="P160">
        <v>0</v>
      </c>
      <c r="Q160">
        <v>4961753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245370</v>
      </c>
      <c r="BK160">
        <v>0</v>
      </c>
      <c r="BL160">
        <v>0</v>
      </c>
      <c r="BM160">
        <v>20000</v>
      </c>
      <c r="BN160">
        <v>1000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99235</v>
      </c>
      <c r="CN160">
        <v>49618</v>
      </c>
      <c r="CO160">
        <v>49618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14885</v>
      </c>
      <c r="CW160">
        <v>44160</v>
      </c>
      <c r="CX160">
        <v>183585</v>
      </c>
      <c r="CY160">
        <v>99235</v>
      </c>
      <c r="CZ160">
        <v>198470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 s="14">
        <v>4496912</v>
      </c>
      <c r="DI160" s="11" t="s">
        <v>819</v>
      </c>
      <c r="DJ160" s="11" t="str">
        <f t="shared" si="5"/>
        <v>WILLIAM WILSON</v>
      </c>
      <c r="DK160" s="16" t="s">
        <v>604</v>
      </c>
      <c r="DL160" s="16" t="s">
        <v>864</v>
      </c>
      <c r="DM160" s="16">
        <v>6211111</v>
      </c>
    </row>
    <row r="161" spans="1:117" x14ac:dyDescent="0.25">
      <c r="A161" s="11" t="str">
        <f t="shared" si="4"/>
        <v>ANTHONY GREEN - UNIT WILAYAH UTARA</v>
      </c>
      <c r="B161" s="12">
        <v>11111295</v>
      </c>
      <c r="C161" s="12" t="s">
        <v>512</v>
      </c>
      <c r="D161" s="13" t="s">
        <v>235</v>
      </c>
      <c r="E161" t="s">
        <v>116</v>
      </c>
      <c r="F161" t="s">
        <v>351</v>
      </c>
      <c r="G161" t="s">
        <v>352</v>
      </c>
      <c r="H161" t="s">
        <v>355</v>
      </c>
      <c r="I161" t="s">
        <v>369</v>
      </c>
      <c r="J161" t="s">
        <v>431</v>
      </c>
      <c r="K161" t="s">
        <v>117</v>
      </c>
      <c r="L161" t="s">
        <v>118</v>
      </c>
      <c r="M161">
        <v>1327250</v>
      </c>
      <c r="N161">
        <v>4499200</v>
      </c>
      <c r="O161">
        <v>0</v>
      </c>
      <c r="P161">
        <v>0</v>
      </c>
      <c r="Q161">
        <v>0</v>
      </c>
      <c r="R161">
        <v>0</v>
      </c>
      <c r="S161">
        <v>1800000</v>
      </c>
      <c r="T161">
        <v>0</v>
      </c>
      <c r="U161">
        <v>1131000</v>
      </c>
      <c r="V161">
        <v>225000</v>
      </c>
      <c r="W161">
        <v>0</v>
      </c>
      <c r="X161">
        <v>600000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665200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1074623</v>
      </c>
      <c r="BJ161">
        <v>10000</v>
      </c>
      <c r="BK161">
        <v>0</v>
      </c>
      <c r="BL161">
        <v>0</v>
      </c>
      <c r="BM161">
        <v>20000</v>
      </c>
      <c r="BN161">
        <v>1000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1121187</v>
      </c>
      <c r="CM161">
        <v>154100</v>
      </c>
      <c r="CN161">
        <v>77050</v>
      </c>
      <c r="CO161">
        <v>77050</v>
      </c>
      <c r="CP161">
        <v>0</v>
      </c>
      <c r="CQ161">
        <v>0</v>
      </c>
      <c r="CR161">
        <v>0</v>
      </c>
      <c r="CS161">
        <v>0</v>
      </c>
      <c r="CT161">
        <v>269675</v>
      </c>
      <c r="CU161">
        <v>0</v>
      </c>
      <c r="CV161">
        <v>23115</v>
      </c>
      <c r="CW161">
        <v>68575</v>
      </c>
      <c r="CX161">
        <v>285085</v>
      </c>
      <c r="CY161">
        <v>154100</v>
      </c>
      <c r="CZ161">
        <v>308200</v>
      </c>
      <c r="DA161">
        <v>0</v>
      </c>
      <c r="DB161">
        <v>0</v>
      </c>
      <c r="DC161">
        <v>0</v>
      </c>
      <c r="DD161">
        <v>0</v>
      </c>
      <c r="DE161">
        <v>577875</v>
      </c>
      <c r="DF161">
        <v>0</v>
      </c>
      <c r="DG161">
        <v>0</v>
      </c>
      <c r="DH161" s="14">
        <v>9592211</v>
      </c>
      <c r="DI161" s="15" t="s">
        <v>700</v>
      </c>
      <c r="DJ161" s="11" t="str">
        <f t="shared" si="5"/>
        <v>ANTHONY GREEN</v>
      </c>
      <c r="DK161" s="16" t="s">
        <v>604</v>
      </c>
      <c r="DL161" s="17" t="s">
        <v>846</v>
      </c>
      <c r="DM161" s="16">
        <v>6211111</v>
      </c>
    </row>
    <row r="162" spans="1:117" x14ac:dyDescent="0.25">
      <c r="A162" s="11" t="str">
        <f t="shared" si="4"/>
        <v>BRIAN MOORE - UNIT WILAYAH UTARA</v>
      </c>
      <c r="B162" s="12">
        <v>11115115</v>
      </c>
      <c r="C162" s="12" t="s">
        <v>510</v>
      </c>
      <c r="D162" s="13" t="s">
        <v>155</v>
      </c>
      <c r="E162" t="s">
        <v>116</v>
      </c>
      <c r="F162" t="s">
        <v>351</v>
      </c>
      <c r="G162" t="s">
        <v>352</v>
      </c>
      <c r="H162" t="s">
        <v>355</v>
      </c>
      <c r="I162" t="s">
        <v>369</v>
      </c>
      <c r="J162" t="s">
        <v>431</v>
      </c>
      <c r="K162" t="s">
        <v>119</v>
      </c>
      <c r="L162" t="s">
        <v>120</v>
      </c>
      <c r="M162">
        <v>0</v>
      </c>
      <c r="N162">
        <v>0</v>
      </c>
      <c r="O162">
        <v>0</v>
      </c>
      <c r="P162">
        <v>0</v>
      </c>
      <c r="Q162">
        <v>4961753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419700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47483</v>
      </c>
      <c r="BK162">
        <v>0</v>
      </c>
      <c r="BL162">
        <v>0</v>
      </c>
      <c r="BM162">
        <v>20000</v>
      </c>
      <c r="BN162">
        <v>1000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13601</v>
      </c>
      <c r="CM162">
        <v>99235</v>
      </c>
      <c r="CN162">
        <v>49618</v>
      </c>
      <c r="CO162">
        <v>49618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14885</v>
      </c>
      <c r="CW162">
        <v>44160</v>
      </c>
      <c r="CX162">
        <v>183585</v>
      </c>
      <c r="CY162">
        <v>99235</v>
      </c>
      <c r="CZ162">
        <v>198470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 s="14">
        <v>5100898</v>
      </c>
      <c r="DI162" s="11" t="s">
        <v>720</v>
      </c>
      <c r="DJ162" s="11" t="str">
        <f t="shared" si="5"/>
        <v>BRIAN MOORE</v>
      </c>
      <c r="DK162" s="16" t="s">
        <v>604</v>
      </c>
      <c r="DL162" s="16" t="s">
        <v>821</v>
      </c>
      <c r="DM162" s="16">
        <v>6211111</v>
      </c>
    </row>
    <row r="163" spans="1:117" x14ac:dyDescent="0.25">
      <c r="A163" s="11" t="str">
        <f t="shared" si="4"/>
        <v>BRIAN NGUYEN - UNIT WILAYAH UTARA</v>
      </c>
      <c r="B163" s="12">
        <v>11113841</v>
      </c>
      <c r="C163" s="12" t="s">
        <v>511</v>
      </c>
      <c r="D163" s="13" t="s">
        <v>210</v>
      </c>
      <c r="E163" t="s">
        <v>116</v>
      </c>
      <c r="F163" t="s">
        <v>351</v>
      </c>
      <c r="G163" t="s">
        <v>352</v>
      </c>
      <c r="H163" t="s">
        <v>355</v>
      </c>
      <c r="I163" t="s">
        <v>369</v>
      </c>
      <c r="J163" t="s">
        <v>431</v>
      </c>
      <c r="K163" t="s">
        <v>119</v>
      </c>
      <c r="L163" t="s">
        <v>120</v>
      </c>
      <c r="M163">
        <v>0</v>
      </c>
      <c r="N163">
        <v>0</v>
      </c>
      <c r="O163">
        <v>0</v>
      </c>
      <c r="P163">
        <v>0</v>
      </c>
      <c r="Q163">
        <v>4961753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442700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20000</v>
      </c>
      <c r="BN163">
        <v>1000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13658</v>
      </c>
      <c r="CM163">
        <v>99235</v>
      </c>
      <c r="CN163">
        <v>49618</v>
      </c>
      <c r="CO163">
        <v>49618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14885</v>
      </c>
      <c r="CW163">
        <v>44160</v>
      </c>
      <c r="CX163">
        <v>183585</v>
      </c>
      <c r="CY163">
        <v>99235</v>
      </c>
      <c r="CZ163">
        <v>198470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 s="14">
        <v>5171324</v>
      </c>
      <c r="DI163" s="11" t="s">
        <v>694</v>
      </c>
      <c r="DJ163" s="11" t="str">
        <f t="shared" si="5"/>
        <v>BRIAN NGUYEN</v>
      </c>
      <c r="DK163" s="16" t="s">
        <v>604</v>
      </c>
      <c r="DL163" s="16" t="s">
        <v>821</v>
      </c>
      <c r="DM163" s="16">
        <v>6211111</v>
      </c>
    </row>
    <row r="164" spans="1:117" x14ac:dyDescent="0.25">
      <c r="A164" s="11" t="str">
        <f t="shared" si="4"/>
        <v>ELIZABETH NELSON - UNIT WILAYAH UTARA</v>
      </c>
      <c r="B164" s="12">
        <v>11113878</v>
      </c>
      <c r="C164" s="12" t="s">
        <v>513</v>
      </c>
      <c r="D164" s="13" t="s">
        <v>295</v>
      </c>
      <c r="E164" t="s">
        <v>116</v>
      </c>
      <c r="F164" t="s">
        <v>351</v>
      </c>
      <c r="G164" t="s">
        <v>352</v>
      </c>
      <c r="H164" t="s">
        <v>355</v>
      </c>
      <c r="I164" t="s">
        <v>369</v>
      </c>
      <c r="J164" t="s">
        <v>431</v>
      </c>
      <c r="K164" t="s">
        <v>119</v>
      </c>
      <c r="L164" t="s">
        <v>120</v>
      </c>
      <c r="M164">
        <v>0</v>
      </c>
      <c r="N164">
        <v>0</v>
      </c>
      <c r="O164">
        <v>0</v>
      </c>
      <c r="P164">
        <v>0</v>
      </c>
      <c r="Q164">
        <v>4961753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531200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20000</v>
      </c>
      <c r="BN164">
        <v>1000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13879</v>
      </c>
      <c r="CM164">
        <v>99235</v>
      </c>
      <c r="CN164">
        <v>49618</v>
      </c>
      <c r="CO164">
        <v>49618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14885</v>
      </c>
      <c r="CW164">
        <v>44160</v>
      </c>
      <c r="CX164">
        <v>183585</v>
      </c>
      <c r="CY164">
        <v>99235</v>
      </c>
      <c r="CZ164">
        <v>198470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 s="14">
        <v>5259603</v>
      </c>
      <c r="DI164" s="11" t="s">
        <v>721</v>
      </c>
      <c r="DJ164" s="11" t="str">
        <f t="shared" si="5"/>
        <v>ELIZABETH NELSON</v>
      </c>
      <c r="DK164" s="16" t="s">
        <v>604</v>
      </c>
      <c r="DL164" s="16" t="s">
        <v>866</v>
      </c>
      <c r="DM164" s="16">
        <v>6211111</v>
      </c>
    </row>
    <row r="165" spans="1:117" x14ac:dyDescent="0.25">
      <c r="A165" s="11" t="str">
        <f t="shared" si="4"/>
        <v>MARY SMITH - UNIT WILAYAH UTARA</v>
      </c>
      <c r="B165" s="12">
        <v>11101403</v>
      </c>
      <c r="C165" s="12" t="s">
        <v>571</v>
      </c>
      <c r="D165" s="13" t="s">
        <v>213</v>
      </c>
      <c r="E165" t="s">
        <v>116</v>
      </c>
      <c r="F165" t="s">
        <v>351</v>
      </c>
      <c r="G165" t="s">
        <v>352</v>
      </c>
      <c r="H165" t="s">
        <v>355</v>
      </c>
      <c r="I165" t="s">
        <v>369</v>
      </c>
      <c r="J165" t="s">
        <v>431</v>
      </c>
      <c r="K165" t="s">
        <v>117</v>
      </c>
      <c r="L165" t="s">
        <v>118</v>
      </c>
      <c r="M165">
        <v>2180000</v>
      </c>
      <c r="N165">
        <v>6367000</v>
      </c>
      <c r="O165">
        <v>0</v>
      </c>
      <c r="P165">
        <v>0</v>
      </c>
      <c r="Q165">
        <v>0</v>
      </c>
      <c r="R165">
        <v>0</v>
      </c>
      <c r="S165">
        <v>1200000</v>
      </c>
      <c r="T165">
        <v>0</v>
      </c>
      <c r="U165">
        <v>1486000</v>
      </c>
      <c r="V165">
        <v>200000</v>
      </c>
      <c r="W165">
        <v>0</v>
      </c>
      <c r="X165">
        <v>400000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531200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972202</v>
      </c>
      <c r="BJ165">
        <v>10000</v>
      </c>
      <c r="BK165">
        <v>0</v>
      </c>
      <c r="BL165">
        <v>100000</v>
      </c>
      <c r="BM165">
        <v>20000</v>
      </c>
      <c r="BN165">
        <v>1000</v>
      </c>
      <c r="BO165">
        <v>0</v>
      </c>
      <c r="BP165">
        <v>0</v>
      </c>
      <c r="BQ165">
        <v>1046500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1171420</v>
      </c>
      <c r="CM165">
        <v>185160</v>
      </c>
      <c r="CN165">
        <v>92580</v>
      </c>
      <c r="CO165">
        <v>89397</v>
      </c>
      <c r="CP165">
        <v>0</v>
      </c>
      <c r="CQ165">
        <v>31420</v>
      </c>
      <c r="CR165">
        <v>0</v>
      </c>
      <c r="CS165">
        <v>102115</v>
      </c>
      <c r="CT165">
        <v>0</v>
      </c>
      <c r="CU165">
        <v>0</v>
      </c>
      <c r="CV165">
        <v>27774</v>
      </c>
      <c r="CW165">
        <v>82396</v>
      </c>
      <c r="CX165">
        <v>342546</v>
      </c>
      <c r="CY165">
        <v>178794</v>
      </c>
      <c r="CZ165">
        <v>370320</v>
      </c>
      <c r="DA165">
        <v>0</v>
      </c>
      <c r="DB165">
        <v>62840</v>
      </c>
      <c r="DC165">
        <v>106828</v>
      </c>
      <c r="DD165">
        <v>0</v>
      </c>
      <c r="DE165">
        <v>0</v>
      </c>
      <c r="DF165">
        <v>0</v>
      </c>
      <c r="DG165">
        <v>0</v>
      </c>
      <c r="DH165" s="14">
        <v>10486810</v>
      </c>
      <c r="DI165" s="15" t="s">
        <v>791</v>
      </c>
      <c r="DJ165" s="11" t="str">
        <f t="shared" si="5"/>
        <v>MARY SMITH</v>
      </c>
      <c r="DK165" s="16" t="s">
        <v>604</v>
      </c>
      <c r="DL165" s="17" t="s">
        <v>862</v>
      </c>
      <c r="DM165" s="16">
        <v>6211111</v>
      </c>
    </row>
    <row r="166" spans="1:117" x14ac:dyDescent="0.25">
      <c r="A166" s="11" t="str">
        <f t="shared" si="4"/>
        <v>RICHARD GONZALEZ - UNIT WILAYAH UTARA</v>
      </c>
      <c r="B166" s="12">
        <v>111123110063</v>
      </c>
      <c r="C166" s="12">
        <v>111123110063</v>
      </c>
      <c r="D166" s="13" t="s">
        <v>234</v>
      </c>
      <c r="E166" t="s">
        <v>122</v>
      </c>
      <c r="F166" t="s">
        <v>351</v>
      </c>
      <c r="G166" t="s">
        <v>352</v>
      </c>
      <c r="H166" t="s">
        <v>356</v>
      </c>
      <c r="I166" t="s">
        <v>369</v>
      </c>
      <c r="J166" t="s">
        <v>431</v>
      </c>
      <c r="K166">
        <v>0</v>
      </c>
      <c r="L166" t="s">
        <v>123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3000000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398400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60000</v>
      </c>
      <c r="CN166">
        <v>30000</v>
      </c>
      <c r="CO166">
        <v>30000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 s="14">
        <v>3278400</v>
      </c>
      <c r="DI166" s="11" t="s">
        <v>631</v>
      </c>
      <c r="DJ166" s="11" t="str">
        <f t="shared" si="5"/>
        <v>RICHARD GONZALEZ</v>
      </c>
      <c r="DK166" s="16" t="s">
        <v>604</v>
      </c>
      <c r="DL166" s="16" t="s">
        <v>825</v>
      </c>
      <c r="DM166" s="16">
        <v>6211111</v>
      </c>
    </row>
    <row r="167" spans="1:117" x14ac:dyDescent="0.25">
      <c r="A167" s="11" t="str">
        <f t="shared" si="4"/>
        <v>BRIAN RIVERA - UNIT WILAYAH UTARA</v>
      </c>
      <c r="B167" s="12">
        <v>111123060118</v>
      </c>
      <c r="C167" s="12">
        <v>111123060118</v>
      </c>
      <c r="D167" s="13" t="s">
        <v>159</v>
      </c>
      <c r="E167" t="s">
        <v>122</v>
      </c>
      <c r="F167" t="s">
        <v>351</v>
      </c>
      <c r="G167" t="s">
        <v>352</v>
      </c>
      <c r="H167" t="s">
        <v>356</v>
      </c>
      <c r="I167" t="s">
        <v>373</v>
      </c>
      <c r="J167" t="s">
        <v>432</v>
      </c>
      <c r="K167">
        <v>0</v>
      </c>
      <c r="L167" t="s">
        <v>123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3650000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83874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73000</v>
      </c>
      <c r="CN167">
        <v>36500</v>
      </c>
      <c r="CO167">
        <v>36500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 s="14">
        <v>3420126</v>
      </c>
      <c r="DI167" s="11" t="s">
        <v>627</v>
      </c>
      <c r="DJ167" s="11" t="str">
        <f t="shared" si="5"/>
        <v>BRIAN RIVERA</v>
      </c>
      <c r="DK167" s="16" t="s">
        <v>604</v>
      </c>
      <c r="DL167" s="16" t="s">
        <v>821</v>
      </c>
      <c r="DM167" s="16">
        <v>6211111</v>
      </c>
    </row>
    <row r="168" spans="1:117" x14ac:dyDescent="0.25">
      <c r="A168" s="11" t="str">
        <f t="shared" si="4"/>
        <v>KEVIN RAMIREZ - UNIT WILAYAH UTARA</v>
      </c>
      <c r="B168" s="12">
        <v>11115119</v>
      </c>
      <c r="C168" s="12" t="s">
        <v>545</v>
      </c>
      <c r="D168" s="13" t="s">
        <v>271</v>
      </c>
      <c r="E168" t="s">
        <v>116</v>
      </c>
      <c r="F168" t="s">
        <v>351</v>
      </c>
      <c r="G168" t="s">
        <v>352</v>
      </c>
      <c r="H168" t="s">
        <v>355</v>
      </c>
      <c r="I168" t="s">
        <v>373</v>
      </c>
      <c r="J168" t="s">
        <v>432</v>
      </c>
      <c r="K168" t="s">
        <v>119</v>
      </c>
      <c r="L168" t="s">
        <v>120</v>
      </c>
      <c r="M168">
        <v>0</v>
      </c>
      <c r="N168">
        <v>0</v>
      </c>
      <c r="O168">
        <v>0</v>
      </c>
      <c r="P168">
        <v>0</v>
      </c>
      <c r="Q168">
        <v>5000000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20000</v>
      </c>
      <c r="BN168">
        <v>1000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100000</v>
      </c>
      <c r="CN168">
        <v>50000</v>
      </c>
      <c r="CO168">
        <v>50000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15000</v>
      </c>
      <c r="CW168">
        <v>44500</v>
      </c>
      <c r="CX168">
        <v>185000</v>
      </c>
      <c r="CY168">
        <v>100000</v>
      </c>
      <c r="CZ168">
        <v>200000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 s="14">
        <v>4779000</v>
      </c>
      <c r="DI168" s="11" t="s">
        <v>768</v>
      </c>
      <c r="DJ168" s="11" t="str">
        <f t="shared" si="5"/>
        <v>KEVIN RAMIREZ</v>
      </c>
      <c r="DK168" s="16" t="s">
        <v>604</v>
      </c>
      <c r="DL168" s="16" t="s">
        <v>865</v>
      </c>
      <c r="DM168" s="16">
        <v>6211111</v>
      </c>
    </row>
    <row r="169" spans="1:117" x14ac:dyDescent="0.25">
      <c r="A169" s="11" t="str">
        <f t="shared" si="4"/>
        <v>MARGARET PEREZ - UNIT WILAYAH UTARA</v>
      </c>
      <c r="B169" s="12">
        <v>11104253</v>
      </c>
      <c r="C169" s="12" t="s">
        <v>514</v>
      </c>
      <c r="D169" s="13" t="s">
        <v>301</v>
      </c>
      <c r="E169" t="s">
        <v>116</v>
      </c>
      <c r="F169" t="s">
        <v>351</v>
      </c>
      <c r="G169" t="s">
        <v>352</v>
      </c>
      <c r="H169" t="s">
        <v>355</v>
      </c>
      <c r="I169" t="s">
        <v>373</v>
      </c>
      <c r="J169" t="s">
        <v>432</v>
      </c>
      <c r="K169" t="s">
        <v>117</v>
      </c>
      <c r="L169" t="s">
        <v>118</v>
      </c>
      <c r="M169">
        <v>942000</v>
      </c>
      <c r="N169">
        <v>2729000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650000</v>
      </c>
      <c r="U169">
        <v>1613000</v>
      </c>
      <c r="V169">
        <v>175000</v>
      </c>
      <c r="W169">
        <v>0</v>
      </c>
      <c r="X169">
        <v>150000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63865</v>
      </c>
      <c r="BJ169">
        <v>104716</v>
      </c>
      <c r="BK169">
        <v>0</v>
      </c>
      <c r="BL169">
        <v>0</v>
      </c>
      <c r="BM169">
        <v>20000</v>
      </c>
      <c r="BN169">
        <v>1000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63865</v>
      </c>
      <c r="CM169">
        <v>107060</v>
      </c>
      <c r="CN169">
        <v>53530</v>
      </c>
      <c r="CO169">
        <v>53530</v>
      </c>
      <c r="CP169">
        <v>0</v>
      </c>
      <c r="CQ169">
        <v>0</v>
      </c>
      <c r="CR169">
        <v>0</v>
      </c>
      <c r="CS169">
        <v>0</v>
      </c>
      <c r="CT169">
        <v>187355</v>
      </c>
      <c r="CU169">
        <v>0</v>
      </c>
      <c r="CV169">
        <v>16059</v>
      </c>
      <c r="CW169">
        <v>47642</v>
      </c>
      <c r="CX169">
        <v>198061</v>
      </c>
      <c r="CY169">
        <v>107060</v>
      </c>
      <c r="CZ169">
        <v>214120</v>
      </c>
      <c r="DA169">
        <v>0</v>
      </c>
      <c r="DB169">
        <v>0</v>
      </c>
      <c r="DC169">
        <v>0</v>
      </c>
      <c r="DD169">
        <v>0</v>
      </c>
      <c r="DE169">
        <v>401475</v>
      </c>
      <c r="DF169">
        <v>0</v>
      </c>
      <c r="DG169">
        <v>0</v>
      </c>
      <c r="DH169" s="14">
        <v>5731809</v>
      </c>
      <c r="DI169" s="15" t="s">
        <v>703</v>
      </c>
      <c r="DJ169" s="11" t="str">
        <f t="shared" si="5"/>
        <v>MARGARET PEREZ</v>
      </c>
      <c r="DK169" s="16" t="s">
        <v>604</v>
      </c>
      <c r="DL169" s="17" t="s">
        <v>822</v>
      </c>
      <c r="DM169" s="16">
        <v>6211111</v>
      </c>
    </row>
    <row r="170" spans="1:117" x14ac:dyDescent="0.25">
      <c r="A170" s="11" t="str">
        <f t="shared" si="4"/>
        <v>SUSAN CAMPBELL - UNIT WILAYAH UTARA</v>
      </c>
      <c r="B170" s="12">
        <v>11109571</v>
      </c>
      <c r="C170" s="12" t="s">
        <v>515</v>
      </c>
      <c r="D170" s="13" t="s">
        <v>317</v>
      </c>
      <c r="E170" t="s">
        <v>116</v>
      </c>
      <c r="F170" t="s">
        <v>351</v>
      </c>
      <c r="G170" t="s">
        <v>352</v>
      </c>
      <c r="H170" t="s">
        <v>355</v>
      </c>
      <c r="I170" t="s">
        <v>373</v>
      </c>
      <c r="J170" t="s">
        <v>432</v>
      </c>
      <c r="K170" t="s">
        <v>117</v>
      </c>
      <c r="L170" t="s">
        <v>118</v>
      </c>
      <c r="M170">
        <v>1339250</v>
      </c>
      <c r="N170">
        <v>4454450</v>
      </c>
      <c r="O170">
        <v>0</v>
      </c>
      <c r="P170">
        <v>0</v>
      </c>
      <c r="Q170">
        <v>0</v>
      </c>
      <c r="R170">
        <v>0</v>
      </c>
      <c r="S170">
        <v>1800000</v>
      </c>
      <c r="T170">
        <v>0</v>
      </c>
      <c r="U170">
        <v>1131000</v>
      </c>
      <c r="V170">
        <v>225000</v>
      </c>
      <c r="W170">
        <v>0</v>
      </c>
      <c r="X170">
        <v>600000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5567539</v>
      </c>
      <c r="BJ170">
        <v>571803</v>
      </c>
      <c r="BK170">
        <v>0</v>
      </c>
      <c r="BL170">
        <v>100000</v>
      </c>
      <c r="BM170">
        <v>20000</v>
      </c>
      <c r="BN170">
        <v>1000</v>
      </c>
      <c r="BO170">
        <v>0</v>
      </c>
      <c r="BP170">
        <v>0</v>
      </c>
      <c r="BQ170">
        <v>1830500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5567539</v>
      </c>
      <c r="CM170">
        <v>154100</v>
      </c>
      <c r="CN170">
        <v>77050</v>
      </c>
      <c r="CO170">
        <v>77050</v>
      </c>
      <c r="CP170">
        <v>0</v>
      </c>
      <c r="CQ170">
        <v>0</v>
      </c>
      <c r="CR170">
        <v>0</v>
      </c>
      <c r="CS170">
        <v>0</v>
      </c>
      <c r="CT170">
        <v>269675</v>
      </c>
      <c r="CU170">
        <v>0</v>
      </c>
      <c r="CV170">
        <v>23115</v>
      </c>
      <c r="CW170">
        <v>68575</v>
      </c>
      <c r="CX170">
        <v>285085</v>
      </c>
      <c r="CY170">
        <v>154100</v>
      </c>
      <c r="CZ170">
        <v>308200</v>
      </c>
      <c r="DA170">
        <v>0</v>
      </c>
      <c r="DB170">
        <v>0</v>
      </c>
      <c r="DC170">
        <v>0</v>
      </c>
      <c r="DD170">
        <v>0</v>
      </c>
      <c r="DE170">
        <v>577875</v>
      </c>
      <c r="DF170">
        <v>0</v>
      </c>
      <c r="DG170">
        <v>0</v>
      </c>
      <c r="DH170" s="14">
        <v>6448522</v>
      </c>
      <c r="DI170" s="15" t="s">
        <v>691</v>
      </c>
      <c r="DJ170" s="11" t="str">
        <f t="shared" si="5"/>
        <v>SUSAN CAMPBELL</v>
      </c>
      <c r="DK170" s="16" t="s">
        <v>604</v>
      </c>
      <c r="DL170" s="17" t="s">
        <v>833</v>
      </c>
      <c r="DM170" s="16">
        <v>6211111</v>
      </c>
    </row>
    <row r="171" spans="1:117" x14ac:dyDescent="0.25">
      <c r="A171" s="11" t="str">
        <f t="shared" si="4"/>
        <v>DEBORAH THOMAS - UNIT WILAYAH UTARA</v>
      </c>
      <c r="B171" s="12">
        <v>11101660</v>
      </c>
      <c r="C171" s="12" t="s">
        <v>582</v>
      </c>
      <c r="D171" s="13" t="s">
        <v>273</v>
      </c>
      <c r="E171" t="s">
        <v>116</v>
      </c>
      <c r="F171" t="s">
        <v>351</v>
      </c>
      <c r="G171" t="s">
        <v>352</v>
      </c>
      <c r="H171" t="s">
        <v>355</v>
      </c>
      <c r="I171" t="s">
        <v>389</v>
      </c>
      <c r="J171" t="s">
        <v>433</v>
      </c>
      <c r="K171" t="s">
        <v>117</v>
      </c>
      <c r="L171" t="s">
        <v>118</v>
      </c>
      <c r="M171">
        <v>1945250</v>
      </c>
      <c r="N171">
        <v>5924000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650000</v>
      </c>
      <c r="U171">
        <v>1613000</v>
      </c>
      <c r="V171">
        <v>175000</v>
      </c>
      <c r="W171">
        <v>0</v>
      </c>
      <c r="X171">
        <v>150000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1849040</v>
      </c>
      <c r="BJ171">
        <v>69073</v>
      </c>
      <c r="BK171">
        <v>0</v>
      </c>
      <c r="BL171">
        <v>100000</v>
      </c>
      <c r="BM171">
        <v>20000</v>
      </c>
      <c r="BN171">
        <v>1000</v>
      </c>
      <c r="BO171">
        <v>0</v>
      </c>
      <c r="BP171">
        <v>0</v>
      </c>
      <c r="BQ171">
        <v>176500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1849040</v>
      </c>
      <c r="CM171">
        <v>174120</v>
      </c>
      <c r="CN171">
        <v>87060</v>
      </c>
      <c r="CO171">
        <v>87060</v>
      </c>
      <c r="CP171">
        <v>0</v>
      </c>
      <c r="CQ171">
        <v>30280</v>
      </c>
      <c r="CR171">
        <v>0</v>
      </c>
      <c r="CS171">
        <v>98410</v>
      </c>
      <c r="CT171">
        <v>0</v>
      </c>
      <c r="CU171">
        <v>0</v>
      </c>
      <c r="CV171">
        <v>26118</v>
      </c>
      <c r="CW171">
        <v>77483</v>
      </c>
      <c r="CX171">
        <v>322122</v>
      </c>
      <c r="CY171">
        <v>174120</v>
      </c>
      <c r="CZ171">
        <v>348240</v>
      </c>
      <c r="DA171">
        <v>0</v>
      </c>
      <c r="DB171">
        <v>60560</v>
      </c>
      <c r="DC171">
        <v>102952</v>
      </c>
      <c r="DD171">
        <v>0</v>
      </c>
      <c r="DE171">
        <v>0</v>
      </c>
      <c r="DF171">
        <v>0</v>
      </c>
      <c r="DG171">
        <v>0</v>
      </c>
      <c r="DH171" s="14">
        <v>9613747</v>
      </c>
      <c r="DI171" s="15" t="s">
        <v>802</v>
      </c>
      <c r="DJ171" s="11" t="str">
        <f t="shared" si="5"/>
        <v>DEBORAH THOMAS</v>
      </c>
      <c r="DK171" s="16" t="s">
        <v>604</v>
      </c>
      <c r="DL171" s="17" t="s">
        <v>841</v>
      </c>
      <c r="DM171" s="16">
        <v>6211111</v>
      </c>
    </row>
    <row r="172" spans="1:117" x14ac:dyDescent="0.25">
      <c r="A172" s="11" t="str">
        <f t="shared" si="4"/>
        <v>EDWARD MILLER - UNIT WILAYAH UTARA</v>
      </c>
      <c r="B172" s="12">
        <v>11101285</v>
      </c>
      <c r="C172" s="12" t="s">
        <v>564</v>
      </c>
      <c r="D172" s="13" t="s">
        <v>308</v>
      </c>
      <c r="E172" t="s">
        <v>116</v>
      </c>
      <c r="F172" t="s">
        <v>351</v>
      </c>
      <c r="G172" t="s">
        <v>352</v>
      </c>
      <c r="H172" t="s">
        <v>355</v>
      </c>
      <c r="I172" t="s">
        <v>389</v>
      </c>
      <c r="J172" t="s">
        <v>433</v>
      </c>
      <c r="K172" t="s">
        <v>117</v>
      </c>
      <c r="L172" t="s">
        <v>118</v>
      </c>
      <c r="M172">
        <v>3410000</v>
      </c>
      <c r="N172">
        <v>13284000</v>
      </c>
      <c r="O172">
        <v>0</v>
      </c>
      <c r="P172">
        <v>0</v>
      </c>
      <c r="Q172">
        <v>0</v>
      </c>
      <c r="R172">
        <v>0</v>
      </c>
      <c r="S172">
        <v>2200000</v>
      </c>
      <c r="T172">
        <v>0</v>
      </c>
      <c r="U172">
        <v>1131000</v>
      </c>
      <c r="V172">
        <v>225000</v>
      </c>
      <c r="W172">
        <v>0</v>
      </c>
      <c r="X172">
        <v>900000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3972048</v>
      </c>
      <c r="BJ172">
        <v>329313</v>
      </c>
      <c r="BK172">
        <v>0</v>
      </c>
      <c r="BL172">
        <v>0</v>
      </c>
      <c r="BM172">
        <v>20000</v>
      </c>
      <c r="BN172">
        <v>1000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3972048</v>
      </c>
      <c r="CM172">
        <v>331380</v>
      </c>
      <c r="CN172">
        <v>120000</v>
      </c>
      <c r="CO172">
        <v>89397</v>
      </c>
      <c r="CP172">
        <v>0</v>
      </c>
      <c r="CQ172">
        <v>51280</v>
      </c>
      <c r="CR172">
        <v>0</v>
      </c>
      <c r="CS172">
        <v>166660</v>
      </c>
      <c r="CT172">
        <v>0</v>
      </c>
      <c r="CU172">
        <v>0</v>
      </c>
      <c r="CV172">
        <v>49707</v>
      </c>
      <c r="CW172">
        <v>147464</v>
      </c>
      <c r="CX172">
        <v>613053</v>
      </c>
      <c r="CY172">
        <v>178794</v>
      </c>
      <c r="CZ172">
        <v>480000</v>
      </c>
      <c r="DA172">
        <v>0</v>
      </c>
      <c r="DB172">
        <v>102560</v>
      </c>
      <c r="DC172">
        <v>174352</v>
      </c>
      <c r="DD172">
        <v>0</v>
      </c>
      <c r="DE172">
        <v>0</v>
      </c>
      <c r="DF172">
        <v>0</v>
      </c>
      <c r="DG172">
        <v>0</v>
      </c>
      <c r="DH172" s="14">
        <v>20040970</v>
      </c>
      <c r="DI172" s="15" t="s">
        <v>784</v>
      </c>
      <c r="DJ172" s="11" t="str">
        <f t="shared" si="5"/>
        <v>EDWARD MILLER</v>
      </c>
      <c r="DK172" s="16" t="s">
        <v>604</v>
      </c>
      <c r="DL172" s="17" t="s">
        <v>830</v>
      </c>
      <c r="DM172" s="16">
        <v>6211111</v>
      </c>
    </row>
    <row r="173" spans="1:117" x14ac:dyDescent="0.25">
      <c r="A173" s="11" t="str">
        <f t="shared" si="4"/>
        <v>EMILY HILL - UNIT WILAYAH UTARA</v>
      </c>
      <c r="B173" s="12">
        <v>111123010123</v>
      </c>
      <c r="C173" s="12">
        <v>111123010123</v>
      </c>
      <c r="D173" s="13" t="s">
        <v>285</v>
      </c>
      <c r="E173" t="s">
        <v>122</v>
      </c>
      <c r="F173" t="s">
        <v>351</v>
      </c>
      <c r="G173" t="s">
        <v>352</v>
      </c>
      <c r="H173" t="s">
        <v>356</v>
      </c>
      <c r="I173" t="s">
        <v>389</v>
      </c>
      <c r="J173" t="s">
        <v>433</v>
      </c>
      <c r="K173">
        <v>0</v>
      </c>
      <c r="L173" t="s">
        <v>123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3150000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63000</v>
      </c>
      <c r="CN173">
        <v>31500</v>
      </c>
      <c r="CO173">
        <v>31500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 s="14">
        <v>3024000</v>
      </c>
      <c r="DI173" s="11" t="s">
        <v>619</v>
      </c>
      <c r="DJ173" s="11" t="str">
        <f t="shared" si="5"/>
        <v>EMILY HILL</v>
      </c>
      <c r="DK173" s="16" t="s">
        <v>604</v>
      </c>
      <c r="DL173" s="16" t="s">
        <v>831</v>
      </c>
      <c r="DM173" s="16">
        <v>6211111</v>
      </c>
    </row>
    <row r="174" spans="1:117" x14ac:dyDescent="0.25">
      <c r="A174" s="11" t="str">
        <f t="shared" si="4"/>
        <v>MICHELLE CAMPBELL - UNIT WILAYAH UTARA</v>
      </c>
      <c r="B174" s="12">
        <v>11115058</v>
      </c>
      <c r="C174" s="12" t="s">
        <v>516</v>
      </c>
      <c r="D174" s="13" t="s">
        <v>319</v>
      </c>
      <c r="E174" t="s">
        <v>116</v>
      </c>
      <c r="F174" t="s">
        <v>351</v>
      </c>
      <c r="G174" t="s">
        <v>352</v>
      </c>
      <c r="H174" t="s">
        <v>355</v>
      </c>
      <c r="I174" t="s">
        <v>389</v>
      </c>
      <c r="J174" t="s">
        <v>433</v>
      </c>
      <c r="K174" t="s">
        <v>119</v>
      </c>
      <c r="L174" t="s">
        <v>120</v>
      </c>
      <c r="M174">
        <v>0</v>
      </c>
      <c r="N174">
        <v>0</v>
      </c>
      <c r="O174">
        <v>0</v>
      </c>
      <c r="P174">
        <v>0</v>
      </c>
      <c r="Q174">
        <v>4961753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20000</v>
      </c>
      <c r="BN174">
        <v>1000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99235</v>
      </c>
      <c r="CN174">
        <v>49618</v>
      </c>
      <c r="CO174">
        <v>49618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14885</v>
      </c>
      <c r="CW174">
        <v>44160</v>
      </c>
      <c r="CX174">
        <v>183585</v>
      </c>
      <c r="CY174">
        <v>99235</v>
      </c>
      <c r="CZ174">
        <v>198470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 s="14">
        <v>4742282</v>
      </c>
      <c r="DI174" s="11" t="s">
        <v>739</v>
      </c>
      <c r="DJ174" s="11" t="str">
        <f t="shared" si="5"/>
        <v>MICHELLE CAMPBELL</v>
      </c>
      <c r="DK174" s="16" t="s">
        <v>604</v>
      </c>
      <c r="DL174" s="16" t="s">
        <v>857</v>
      </c>
      <c r="DM174" s="16">
        <v>6211111</v>
      </c>
    </row>
    <row r="175" spans="1:117" x14ac:dyDescent="0.25">
      <c r="A175" s="11" t="str">
        <f t="shared" si="4"/>
        <v>STEVEN RAMIREZ - UNIT WILAYAH UTARA</v>
      </c>
      <c r="B175" s="12">
        <v>11116709</v>
      </c>
      <c r="C175" s="12" t="s">
        <v>121</v>
      </c>
      <c r="D175" s="13" t="s">
        <v>194</v>
      </c>
      <c r="E175" t="s">
        <v>116</v>
      </c>
      <c r="F175" t="s">
        <v>351</v>
      </c>
      <c r="G175" t="s">
        <v>352</v>
      </c>
      <c r="H175" t="s">
        <v>355</v>
      </c>
      <c r="I175" t="s">
        <v>389</v>
      </c>
      <c r="J175" t="s">
        <v>433</v>
      </c>
      <c r="K175" t="s">
        <v>119</v>
      </c>
      <c r="L175" t="s">
        <v>120</v>
      </c>
      <c r="M175">
        <v>0</v>
      </c>
      <c r="N175">
        <v>0</v>
      </c>
      <c r="O175">
        <v>0</v>
      </c>
      <c r="P175">
        <v>0</v>
      </c>
      <c r="Q175">
        <v>4961753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20000</v>
      </c>
      <c r="BN175">
        <v>1000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99235</v>
      </c>
      <c r="CN175">
        <v>49618</v>
      </c>
      <c r="CO175">
        <v>49618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14885</v>
      </c>
      <c r="CW175">
        <v>44160</v>
      </c>
      <c r="CX175">
        <v>183585</v>
      </c>
      <c r="CY175">
        <v>99235</v>
      </c>
      <c r="CZ175">
        <v>198470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 s="14">
        <v>4742282</v>
      </c>
      <c r="DI175" s="11" t="s">
        <v>660</v>
      </c>
      <c r="DJ175" s="11" t="str">
        <f t="shared" si="5"/>
        <v>STEVEN RAMIREZ</v>
      </c>
      <c r="DK175" s="16" t="s">
        <v>604</v>
      </c>
      <c r="DL175" s="16" t="s">
        <v>848</v>
      </c>
      <c r="DM175" s="16">
        <v>6211111</v>
      </c>
    </row>
    <row r="176" spans="1:117" x14ac:dyDescent="0.25">
      <c r="A176" s="11" t="str">
        <f t="shared" si="4"/>
        <v>CHARLES MILLER - UNIT WILAYAH UTARA</v>
      </c>
      <c r="B176" s="12">
        <v>11112927</v>
      </c>
      <c r="C176" s="12" t="s">
        <v>587</v>
      </c>
      <c r="D176" s="13" t="s">
        <v>344</v>
      </c>
      <c r="E176" t="s">
        <v>116</v>
      </c>
      <c r="F176" t="s">
        <v>351</v>
      </c>
      <c r="G176" t="s">
        <v>352</v>
      </c>
      <c r="H176" t="s">
        <v>355</v>
      </c>
      <c r="I176" t="s">
        <v>384</v>
      </c>
      <c r="J176" t="s">
        <v>434</v>
      </c>
      <c r="K176" t="s">
        <v>119</v>
      </c>
      <c r="L176" t="s">
        <v>120</v>
      </c>
      <c r="M176">
        <v>0</v>
      </c>
      <c r="N176">
        <v>0</v>
      </c>
      <c r="O176">
        <v>0</v>
      </c>
      <c r="P176">
        <v>0</v>
      </c>
      <c r="Q176">
        <v>6384000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65252</v>
      </c>
      <c r="BJ176">
        <v>10000</v>
      </c>
      <c r="BK176">
        <v>0</v>
      </c>
      <c r="BL176">
        <v>100000</v>
      </c>
      <c r="BM176">
        <v>20000</v>
      </c>
      <c r="BN176">
        <v>1000</v>
      </c>
      <c r="BO176">
        <v>0</v>
      </c>
      <c r="BP176">
        <v>0</v>
      </c>
      <c r="BQ176">
        <v>135000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65252</v>
      </c>
      <c r="CM176">
        <v>127680</v>
      </c>
      <c r="CN176">
        <v>63840</v>
      </c>
      <c r="CO176">
        <v>63840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19152</v>
      </c>
      <c r="CW176">
        <v>56818</v>
      </c>
      <c r="CX176">
        <v>236208</v>
      </c>
      <c r="CY176">
        <v>127680</v>
      </c>
      <c r="CZ176">
        <v>255360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 s="14">
        <v>5862640</v>
      </c>
      <c r="DI176" s="15" t="s">
        <v>807</v>
      </c>
      <c r="DJ176" s="11" t="str">
        <f t="shared" si="5"/>
        <v>CHARLES MILLER</v>
      </c>
      <c r="DK176" s="16" t="s">
        <v>604</v>
      </c>
      <c r="DL176" s="17" t="s">
        <v>852</v>
      </c>
      <c r="DM176" s="16">
        <v>6211111</v>
      </c>
    </row>
    <row r="177" spans="1:117" x14ac:dyDescent="0.25">
      <c r="A177" s="11" t="str">
        <f t="shared" si="4"/>
        <v>DONNA FLORES - UNIT WILAYAH UTARA</v>
      </c>
      <c r="B177" s="12">
        <v>11101426</v>
      </c>
      <c r="C177" s="12" t="s">
        <v>573</v>
      </c>
      <c r="D177" s="13" t="s">
        <v>182</v>
      </c>
      <c r="E177" t="s">
        <v>116</v>
      </c>
      <c r="F177" t="s">
        <v>351</v>
      </c>
      <c r="G177" t="s">
        <v>352</v>
      </c>
      <c r="H177" t="s">
        <v>355</v>
      </c>
      <c r="I177" t="s">
        <v>384</v>
      </c>
      <c r="J177" t="s">
        <v>434</v>
      </c>
      <c r="K177" t="s">
        <v>117</v>
      </c>
      <c r="L177" t="s">
        <v>118</v>
      </c>
      <c r="M177">
        <v>1594000</v>
      </c>
      <c r="N177">
        <v>4679000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650000</v>
      </c>
      <c r="U177">
        <v>1613000</v>
      </c>
      <c r="V177">
        <v>175000</v>
      </c>
      <c r="W177">
        <v>0</v>
      </c>
      <c r="X177">
        <v>150000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113270</v>
      </c>
      <c r="BJ177">
        <v>0</v>
      </c>
      <c r="BK177">
        <v>0</v>
      </c>
      <c r="BL177">
        <v>100000</v>
      </c>
      <c r="BM177">
        <v>20000</v>
      </c>
      <c r="BN177">
        <v>1000</v>
      </c>
      <c r="BO177">
        <v>0</v>
      </c>
      <c r="BP177">
        <v>0</v>
      </c>
      <c r="BQ177">
        <v>857500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113270</v>
      </c>
      <c r="CM177">
        <v>146860</v>
      </c>
      <c r="CN177">
        <v>73430</v>
      </c>
      <c r="CO177">
        <v>73430</v>
      </c>
      <c r="CP177">
        <v>0</v>
      </c>
      <c r="CQ177">
        <v>24620</v>
      </c>
      <c r="CR177">
        <v>0</v>
      </c>
      <c r="CS177">
        <v>80015</v>
      </c>
      <c r="CT177">
        <v>0</v>
      </c>
      <c r="CU177">
        <v>0</v>
      </c>
      <c r="CV177">
        <v>22029</v>
      </c>
      <c r="CW177">
        <v>65353</v>
      </c>
      <c r="CX177">
        <v>271691</v>
      </c>
      <c r="CY177">
        <v>146860</v>
      </c>
      <c r="CZ177">
        <v>293720</v>
      </c>
      <c r="DA177">
        <v>0</v>
      </c>
      <c r="DB177">
        <v>49240</v>
      </c>
      <c r="DC177">
        <v>83708</v>
      </c>
      <c r="DD177">
        <v>0</v>
      </c>
      <c r="DE177">
        <v>0</v>
      </c>
      <c r="DF177">
        <v>0</v>
      </c>
      <c r="DG177">
        <v>0</v>
      </c>
      <c r="DH177" s="14">
        <v>7484145</v>
      </c>
      <c r="DI177" s="15" t="s">
        <v>793</v>
      </c>
      <c r="DJ177" s="11" t="str">
        <f t="shared" si="5"/>
        <v>DONNA FLORES</v>
      </c>
      <c r="DK177" s="16" t="s">
        <v>604</v>
      </c>
      <c r="DL177" s="17" t="s">
        <v>867</v>
      </c>
      <c r="DM177" s="16">
        <v>6211111</v>
      </c>
    </row>
    <row r="178" spans="1:117" x14ac:dyDescent="0.25">
      <c r="A178" s="11" t="str">
        <f t="shared" si="4"/>
        <v>MARK THOMAS - UNIT WILAYAH UTARA</v>
      </c>
      <c r="B178" s="12">
        <v>111123070015</v>
      </c>
      <c r="C178" s="12">
        <v>111123070015</v>
      </c>
      <c r="D178" s="13" t="s">
        <v>327</v>
      </c>
      <c r="E178" t="s">
        <v>122</v>
      </c>
      <c r="F178" t="s">
        <v>351</v>
      </c>
      <c r="G178" t="s">
        <v>352</v>
      </c>
      <c r="H178" t="s">
        <v>356</v>
      </c>
      <c r="I178" t="s">
        <v>384</v>
      </c>
      <c r="J178" t="s">
        <v>434</v>
      </c>
      <c r="K178">
        <v>0</v>
      </c>
      <c r="L178" t="s">
        <v>123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3650000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73000</v>
      </c>
      <c r="CN178">
        <v>36500</v>
      </c>
      <c r="CO178">
        <v>36500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 s="14">
        <v>3504000</v>
      </c>
      <c r="DI178" s="11" t="s">
        <v>629</v>
      </c>
      <c r="DJ178" s="11" t="str">
        <f t="shared" si="5"/>
        <v>MARK THOMAS</v>
      </c>
      <c r="DK178" s="16" t="s">
        <v>604</v>
      </c>
      <c r="DL178" s="16" t="s">
        <v>839</v>
      </c>
      <c r="DM178" s="16">
        <v>6211111</v>
      </c>
    </row>
    <row r="179" spans="1:117" x14ac:dyDescent="0.25">
      <c r="A179" s="11" t="str">
        <f t="shared" si="4"/>
        <v>WILLIAM TORRES - UNIT WILAYAH UTARA</v>
      </c>
      <c r="B179" s="12">
        <v>11113869</v>
      </c>
      <c r="C179" s="12" t="s">
        <v>517</v>
      </c>
      <c r="D179" s="13" t="s">
        <v>190</v>
      </c>
      <c r="E179" t="s">
        <v>116</v>
      </c>
      <c r="F179" t="s">
        <v>351</v>
      </c>
      <c r="G179" t="s">
        <v>352</v>
      </c>
      <c r="H179" t="s">
        <v>355</v>
      </c>
      <c r="I179" t="s">
        <v>384</v>
      </c>
      <c r="J179" t="s">
        <v>434</v>
      </c>
      <c r="K179" t="s">
        <v>119</v>
      </c>
      <c r="L179" t="s">
        <v>120</v>
      </c>
      <c r="M179">
        <v>0</v>
      </c>
      <c r="N179">
        <v>0</v>
      </c>
      <c r="O179">
        <v>0</v>
      </c>
      <c r="P179">
        <v>0</v>
      </c>
      <c r="Q179">
        <v>5000000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20000</v>
      </c>
      <c r="BN179">
        <v>1000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100000</v>
      </c>
      <c r="CN179">
        <v>50000</v>
      </c>
      <c r="CO179">
        <v>50000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15000</v>
      </c>
      <c r="CW179">
        <v>44500</v>
      </c>
      <c r="CX179">
        <v>185000</v>
      </c>
      <c r="CY179">
        <v>100000</v>
      </c>
      <c r="CZ179">
        <v>200000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 s="14">
        <v>4779000</v>
      </c>
      <c r="DI179" s="11" t="s">
        <v>709</v>
      </c>
      <c r="DJ179" s="11" t="str">
        <f t="shared" si="5"/>
        <v>WILLIAM TORRES</v>
      </c>
      <c r="DK179" s="16" t="s">
        <v>604</v>
      </c>
      <c r="DL179" s="16" t="s">
        <v>864</v>
      </c>
      <c r="DM179" s="16">
        <v>6211111</v>
      </c>
    </row>
    <row r="180" spans="1:117" x14ac:dyDescent="0.25">
      <c r="A180" s="11" t="str">
        <f t="shared" si="4"/>
        <v>CAROL WALKER - UNIT WILAYAH UTARA</v>
      </c>
      <c r="B180" s="12">
        <v>111122111148</v>
      </c>
      <c r="C180" s="12">
        <v>111122111048</v>
      </c>
      <c r="D180" s="13" t="s">
        <v>318</v>
      </c>
      <c r="E180" t="s">
        <v>122</v>
      </c>
      <c r="F180" t="s">
        <v>351</v>
      </c>
      <c r="G180" t="s">
        <v>352</v>
      </c>
      <c r="H180" t="s">
        <v>356</v>
      </c>
      <c r="I180" t="s">
        <v>376</v>
      </c>
      <c r="J180" t="s">
        <v>435</v>
      </c>
      <c r="K180">
        <v>0</v>
      </c>
      <c r="L180" t="s">
        <v>123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4150000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174658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83000</v>
      </c>
      <c r="CN180">
        <v>41500</v>
      </c>
      <c r="CO180">
        <v>41500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 s="14">
        <v>3809342</v>
      </c>
      <c r="DI180" s="11" t="s">
        <v>615</v>
      </c>
      <c r="DJ180" s="11" t="str">
        <f t="shared" si="5"/>
        <v>CAROL WALKER</v>
      </c>
      <c r="DK180" s="16" t="s">
        <v>604</v>
      </c>
      <c r="DL180" s="16" t="s">
        <v>829</v>
      </c>
      <c r="DM180" s="16">
        <v>6211111</v>
      </c>
    </row>
    <row r="181" spans="1:117" x14ac:dyDescent="0.25">
      <c r="A181" s="11" t="str">
        <f t="shared" si="4"/>
        <v>JOHN MARTIN - UNIT WILAYAH UTARA</v>
      </c>
      <c r="B181" s="12">
        <v>11103801</v>
      </c>
      <c r="C181" s="12" t="s">
        <v>518</v>
      </c>
      <c r="D181" s="13" t="s">
        <v>167</v>
      </c>
      <c r="E181" t="s">
        <v>116</v>
      </c>
      <c r="F181" t="s">
        <v>351</v>
      </c>
      <c r="G181" t="s">
        <v>352</v>
      </c>
      <c r="H181" t="s">
        <v>355</v>
      </c>
      <c r="I181" t="s">
        <v>376</v>
      </c>
      <c r="J181" t="s">
        <v>435</v>
      </c>
      <c r="K181" t="s">
        <v>117</v>
      </c>
      <c r="L181" t="s">
        <v>118</v>
      </c>
      <c r="M181">
        <v>1004150</v>
      </c>
      <c r="N181">
        <v>2876500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650000</v>
      </c>
      <c r="U181">
        <v>1613000</v>
      </c>
      <c r="V181">
        <v>175000</v>
      </c>
      <c r="W181">
        <v>0</v>
      </c>
      <c r="X181">
        <v>150000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66000</v>
      </c>
      <c r="BJ181">
        <v>669232</v>
      </c>
      <c r="BK181">
        <v>0</v>
      </c>
      <c r="BL181">
        <v>100000</v>
      </c>
      <c r="BM181">
        <v>20000</v>
      </c>
      <c r="BN181">
        <v>1000</v>
      </c>
      <c r="BO181">
        <v>0</v>
      </c>
      <c r="BP181">
        <v>0</v>
      </c>
      <c r="BQ181">
        <v>1260500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66000</v>
      </c>
      <c r="CM181">
        <v>109840</v>
      </c>
      <c r="CN181">
        <v>54920</v>
      </c>
      <c r="CO181">
        <v>54920</v>
      </c>
      <c r="CP181">
        <v>0</v>
      </c>
      <c r="CQ181">
        <v>0</v>
      </c>
      <c r="CR181">
        <v>0</v>
      </c>
      <c r="CS181">
        <v>0</v>
      </c>
      <c r="CT181">
        <v>192220</v>
      </c>
      <c r="CU181">
        <v>0</v>
      </c>
      <c r="CV181">
        <v>16476</v>
      </c>
      <c r="CW181">
        <v>48879</v>
      </c>
      <c r="CX181">
        <v>203204</v>
      </c>
      <c r="CY181">
        <v>109840</v>
      </c>
      <c r="CZ181">
        <v>219680</v>
      </c>
      <c r="DA181">
        <v>0</v>
      </c>
      <c r="DB181">
        <v>0</v>
      </c>
      <c r="DC181">
        <v>0</v>
      </c>
      <c r="DD181">
        <v>0</v>
      </c>
      <c r="DE181">
        <v>411900</v>
      </c>
      <c r="DF181">
        <v>0</v>
      </c>
      <c r="DG181">
        <v>0</v>
      </c>
      <c r="DH181" s="14">
        <v>4006018</v>
      </c>
      <c r="DI181" s="15" t="s">
        <v>684</v>
      </c>
      <c r="DJ181" s="11" t="str">
        <f t="shared" si="5"/>
        <v>JOHN MARTIN</v>
      </c>
      <c r="DK181" s="16" t="s">
        <v>604</v>
      </c>
      <c r="DL181" s="17" t="s">
        <v>835</v>
      </c>
      <c r="DM181" s="16">
        <v>6211111</v>
      </c>
    </row>
    <row r="182" spans="1:117" x14ac:dyDescent="0.25">
      <c r="A182" s="11" t="str">
        <f t="shared" si="4"/>
        <v>KIMBERLY HERNANDEZ - UNIT WILAYAH UTARA</v>
      </c>
      <c r="B182" s="12">
        <v>11106886</v>
      </c>
      <c r="C182" s="12" t="s">
        <v>546</v>
      </c>
      <c r="D182" s="13" t="s">
        <v>339</v>
      </c>
      <c r="E182" t="s">
        <v>116</v>
      </c>
      <c r="F182" t="s">
        <v>351</v>
      </c>
      <c r="G182" t="s">
        <v>352</v>
      </c>
      <c r="H182" t="s">
        <v>358</v>
      </c>
      <c r="I182" t="s">
        <v>376</v>
      </c>
      <c r="J182" t="s">
        <v>435</v>
      </c>
      <c r="K182" t="s">
        <v>119</v>
      </c>
      <c r="L182" t="s">
        <v>120</v>
      </c>
      <c r="M182">
        <v>0</v>
      </c>
      <c r="N182">
        <v>0</v>
      </c>
      <c r="O182">
        <v>0</v>
      </c>
      <c r="P182">
        <v>0</v>
      </c>
      <c r="Q182">
        <v>6384000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65252</v>
      </c>
      <c r="BJ182">
        <v>10000</v>
      </c>
      <c r="BK182">
        <v>0</v>
      </c>
      <c r="BL182">
        <v>0</v>
      </c>
      <c r="BM182">
        <v>20000</v>
      </c>
      <c r="BN182">
        <v>1000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65252</v>
      </c>
      <c r="CM182">
        <v>127680</v>
      </c>
      <c r="CN182">
        <v>63840</v>
      </c>
      <c r="CO182">
        <v>63840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19152</v>
      </c>
      <c r="CW182">
        <v>56818</v>
      </c>
      <c r="CX182">
        <v>236208</v>
      </c>
      <c r="CY182">
        <v>127680</v>
      </c>
      <c r="CZ182">
        <v>255360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 s="14">
        <v>6097640</v>
      </c>
      <c r="DI182" s="15" t="s">
        <v>672</v>
      </c>
      <c r="DJ182" s="11" t="str">
        <f t="shared" si="5"/>
        <v>KIMBERLY HERNANDEZ</v>
      </c>
      <c r="DK182" s="16" t="s">
        <v>604</v>
      </c>
      <c r="DL182" s="17" t="s">
        <v>843</v>
      </c>
      <c r="DM182" s="16">
        <v>6211111</v>
      </c>
    </row>
    <row r="183" spans="1:117" x14ac:dyDescent="0.25">
      <c r="A183" s="11" t="str">
        <f t="shared" si="4"/>
        <v>LISA CARTER - UNIT WILAYAH UTARA</v>
      </c>
      <c r="B183" s="12">
        <v>11241211111102</v>
      </c>
      <c r="C183" s="12">
        <v>11241211111102</v>
      </c>
      <c r="D183" s="13" t="s">
        <v>166</v>
      </c>
      <c r="E183" t="s">
        <v>122</v>
      </c>
      <c r="F183" t="s">
        <v>351</v>
      </c>
      <c r="G183" t="s">
        <v>352</v>
      </c>
      <c r="H183" t="s">
        <v>356</v>
      </c>
      <c r="I183" t="s">
        <v>376</v>
      </c>
      <c r="J183" t="s">
        <v>435</v>
      </c>
      <c r="K183">
        <v>0</v>
      </c>
      <c r="L183" t="s">
        <v>123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3000000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174000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 s="14">
        <v>3174000</v>
      </c>
      <c r="DI183" s="11" t="s">
        <v>645</v>
      </c>
      <c r="DJ183" s="11" t="str">
        <f t="shared" si="5"/>
        <v>LISA CARTER</v>
      </c>
      <c r="DK183" s="16" t="s">
        <v>604</v>
      </c>
      <c r="DL183" s="16" t="s">
        <v>836</v>
      </c>
      <c r="DM183" s="16">
        <v>6211111</v>
      </c>
    </row>
    <row r="184" spans="1:117" x14ac:dyDescent="0.25">
      <c r="A184" s="11" t="str">
        <f t="shared" si="4"/>
        <v>ASHLEY WILLIAMS - UNIT WILAYAH UTARA</v>
      </c>
      <c r="B184" s="12">
        <v>11115007</v>
      </c>
      <c r="C184" s="12" t="s">
        <v>519</v>
      </c>
      <c r="D184" s="13" t="s">
        <v>175</v>
      </c>
      <c r="E184" t="s">
        <v>116</v>
      </c>
      <c r="F184" t="s">
        <v>351</v>
      </c>
      <c r="G184" t="s">
        <v>352</v>
      </c>
      <c r="H184" t="s">
        <v>355</v>
      </c>
      <c r="I184" t="s">
        <v>381</v>
      </c>
      <c r="J184" t="s">
        <v>436</v>
      </c>
      <c r="K184" t="s">
        <v>119</v>
      </c>
      <c r="L184" t="s">
        <v>120</v>
      </c>
      <c r="M184">
        <v>0</v>
      </c>
      <c r="N184">
        <v>0</v>
      </c>
      <c r="O184">
        <v>0</v>
      </c>
      <c r="P184">
        <v>0</v>
      </c>
      <c r="Q184">
        <v>6000000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45879</v>
      </c>
      <c r="BJ184">
        <v>272134</v>
      </c>
      <c r="BK184">
        <v>0</v>
      </c>
      <c r="BL184">
        <v>0</v>
      </c>
      <c r="BM184">
        <v>20000</v>
      </c>
      <c r="BN184">
        <v>1000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45879</v>
      </c>
      <c r="CM184">
        <v>120000</v>
      </c>
      <c r="CN184">
        <v>60000</v>
      </c>
      <c r="CO184">
        <v>60000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18000</v>
      </c>
      <c r="CW184">
        <v>53400</v>
      </c>
      <c r="CX184">
        <v>222000</v>
      </c>
      <c r="CY184">
        <v>120000</v>
      </c>
      <c r="CZ184">
        <v>240000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 s="14">
        <v>5466866</v>
      </c>
      <c r="DI184" s="11" t="s">
        <v>716</v>
      </c>
      <c r="DJ184" s="11" t="str">
        <f t="shared" si="5"/>
        <v>ASHLEY WILLIAMS</v>
      </c>
      <c r="DK184" s="16" t="s">
        <v>604</v>
      </c>
      <c r="DL184" s="16" t="s">
        <v>828</v>
      </c>
      <c r="DM184" s="16">
        <v>6211111</v>
      </c>
    </row>
    <row r="185" spans="1:117" x14ac:dyDescent="0.25">
      <c r="A185" s="11" t="str">
        <f t="shared" si="4"/>
        <v>GEORGE JOHNSON - UNIT WILAYAH UTARA</v>
      </c>
      <c r="B185" s="12">
        <v>11103249</v>
      </c>
      <c r="C185" s="12" t="s">
        <v>547</v>
      </c>
      <c r="D185" s="13" t="s">
        <v>241</v>
      </c>
      <c r="E185" t="s">
        <v>116</v>
      </c>
      <c r="F185" t="s">
        <v>351</v>
      </c>
      <c r="G185" t="s">
        <v>352</v>
      </c>
      <c r="H185" t="s">
        <v>355</v>
      </c>
      <c r="I185" t="s">
        <v>381</v>
      </c>
      <c r="J185" t="s">
        <v>436</v>
      </c>
      <c r="K185" t="s">
        <v>117</v>
      </c>
      <c r="L185" t="s">
        <v>118</v>
      </c>
      <c r="M185">
        <v>858000</v>
      </c>
      <c r="N185">
        <v>2506000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650000</v>
      </c>
      <c r="U185">
        <v>1613000</v>
      </c>
      <c r="V185">
        <v>175000</v>
      </c>
      <c r="W185">
        <v>0</v>
      </c>
      <c r="X185">
        <v>150000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45432</v>
      </c>
      <c r="BJ185">
        <v>0</v>
      </c>
      <c r="BK185">
        <v>0</v>
      </c>
      <c r="BL185">
        <v>0</v>
      </c>
      <c r="BM185">
        <v>20000</v>
      </c>
      <c r="BN185">
        <v>1000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45432</v>
      </c>
      <c r="CM185">
        <v>101280</v>
      </c>
      <c r="CN185">
        <v>50640</v>
      </c>
      <c r="CO185">
        <v>50640</v>
      </c>
      <c r="CP185">
        <v>0</v>
      </c>
      <c r="CQ185">
        <v>0</v>
      </c>
      <c r="CR185">
        <v>0</v>
      </c>
      <c r="CS185">
        <v>0</v>
      </c>
      <c r="CT185">
        <v>177240</v>
      </c>
      <c r="CU185">
        <v>0</v>
      </c>
      <c r="CV185">
        <v>15192</v>
      </c>
      <c r="CW185">
        <v>45070</v>
      </c>
      <c r="CX185">
        <v>187368</v>
      </c>
      <c r="CY185">
        <v>101280</v>
      </c>
      <c r="CZ185">
        <v>202560</v>
      </c>
      <c r="DA185">
        <v>0</v>
      </c>
      <c r="DB185">
        <v>0</v>
      </c>
      <c r="DC185">
        <v>0</v>
      </c>
      <c r="DD185">
        <v>0</v>
      </c>
      <c r="DE185">
        <v>379800</v>
      </c>
      <c r="DF185">
        <v>0</v>
      </c>
      <c r="DG185">
        <v>0</v>
      </c>
      <c r="DH185" s="14">
        <v>5551200</v>
      </c>
      <c r="DI185" s="15" t="s">
        <v>671</v>
      </c>
      <c r="DJ185" s="11" t="str">
        <f t="shared" si="5"/>
        <v>GEORGE JOHNSON</v>
      </c>
      <c r="DK185" s="16" t="s">
        <v>604</v>
      </c>
      <c r="DL185" s="17" t="s">
        <v>851</v>
      </c>
      <c r="DM185" s="16">
        <v>6211111</v>
      </c>
    </row>
    <row r="186" spans="1:117" x14ac:dyDescent="0.25">
      <c r="A186" s="11" t="str">
        <f t="shared" si="4"/>
        <v>SANDRA SANCHEZ - UNIT WILAYAH UTARA</v>
      </c>
      <c r="B186" s="12">
        <v>11113864</v>
      </c>
      <c r="C186" s="12" t="s">
        <v>520</v>
      </c>
      <c r="D186" s="13" t="s">
        <v>310</v>
      </c>
      <c r="E186" t="s">
        <v>116</v>
      </c>
      <c r="F186" t="s">
        <v>351</v>
      </c>
      <c r="G186" t="s">
        <v>352</v>
      </c>
      <c r="H186" t="s">
        <v>355</v>
      </c>
      <c r="I186" t="s">
        <v>381</v>
      </c>
      <c r="J186" t="s">
        <v>436</v>
      </c>
      <c r="K186" t="s">
        <v>119</v>
      </c>
      <c r="L186" t="s">
        <v>120</v>
      </c>
      <c r="M186">
        <v>0</v>
      </c>
      <c r="N186">
        <v>0</v>
      </c>
      <c r="O186">
        <v>0</v>
      </c>
      <c r="P186">
        <v>0</v>
      </c>
      <c r="Q186">
        <v>4961753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20000</v>
      </c>
      <c r="BN186">
        <v>1000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99235</v>
      </c>
      <c r="CN186">
        <v>49618</v>
      </c>
      <c r="CO186">
        <v>49618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14885</v>
      </c>
      <c r="CW186">
        <v>44160</v>
      </c>
      <c r="CX186">
        <v>183585</v>
      </c>
      <c r="CY186">
        <v>99235</v>
      </c>
      <c r="CZ186">
        <v>198470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 s="14">
        <v>4742282</v>
      </c>
      <c r="DI186" s="11" t="s">
        <v>738</v>
      </c>
      <c r="DJ186" s="11" t="str">
        <f t="shared" si="5"/>
        <v>SANDRA SANCHEZ</v>
      </c>
      <c r="DK186" s="16" t="s">
        <v>604</v>
      </c>
      <c r="DL186" s="16" t="s">
        <v>854</v>
      </c>
      <c r="DM186" s="16">
        <v>6211111</v>
      </c>
    </row>
    <row r="187" spans="1:117" x14ac:dyDescent="0.25">
      <c r="A187" s="11" t="str">
        <f t="shared" si="4"/>
        <v>JOHN WRIGHT - UNIT WILAYAH UTARA</v>
      </c>
      <c r="B187" s="12">
        <v>111123050164</v>
      </c>
      <c r="C187" s="12">
        <v>111123050164</v>
      </c>
      <c r="D187" s="13" t="s">
        <v>343</v>
      </c>
      <c r="E187" t="s">
        <v>122</v>
      </c>
      <c r="F187" t="s">
        <v>351</v>
      </c>
      <c r="G187" t="s">
        <v>352</v>
      </c>
      <c r="H187" t="s">
        <v>356</v>
      </c>
      <c r="I187" t="s">
        <v>378</v>
      </c>
      <c r="J187" t="s">
        <v>437</v>
      </c>
      <c r="K187">
        <v>0</v>
      </c>
      <c r="L187" t="s">
        <v>123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3650000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224760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73000</v>
      </c>
      <c r="CN187">
        <v>36500</v>
      </c>
      <c r="CO187">
        <v>36500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 s="14">
        <v>3279240</v>
      </c>
      <c r="DI187" s="11" t="s">
        <v>623</v>
      </c>
      <c r="DJ187" s="11" t="str">
        <f t="shared" si="5"/>
        <v>JOHN WRIGHT</v>
      </c>
      <c r="DK187" s="16" t="s">
        <v>604</v>
      </c>
      <c r="DL187" s="16" t="s">
        <v>835</v>
      </c>
      <c r="DM187" s="16">
        <v>6211111</v>
      </c>
    </row>
    <row r="188" spans="1:117" x14ac:dyDescent="0.25">
      <c r="A188" s="11" t="str">
        <f t="shared" si="4"/>
        <v>KENNETH ANDERSON - UNIT WILAYAH UTARA</v>
      </c>
      <c r="B188" s="12">
        <v>11111811</v>
      </c>
      <c r="C188" s="12" t="s">
        <v>523</v>
      </c>
      <c r="D188" s="13" t="s">
        <v>314</v>
      </c>
      <c r="E188" t="s">
        <v>116</v>
      </c>
      <c r="F188" t="s">
        <v>351</v>
      </c>
      <c r="G188" t="s">
        <v>352</v>
      </c>
      <c r="H188" t="s">
        <v>359</v>
      </c>
      <c r="I188" t="s">
        <v>378</v>
      </c>
      <c r="J188" t="s">
        <v>437</v>
      </c>
      <c r="K188" t="s">
        <v>119</v>
      </c>
      <c r="L188" t="s">
        <v>120</v>
      </c>
      <c r="M188">
        <v>0</v>
      </c>
      <c r="N188">
        <v>0</v>
      </c>
      <c r="O188">
        <v>0</v>
      </c>
      <c r="P188">
        <v>0</v>
      </c>
      <c r="Q188">
        <v>6000000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45879</v>
      </c>
      <c r="BJ188">
        <v>218430</v>
      </c>
      <c r="BK188">
        <v>0</v>
      </c>
      <c r="BL188">
        <v>0</v>
      </c>
      <c r="BM188">
        <v>20000</v>
      </c>
      <c r="BN188">
        <v>1000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45879</v>
      </c>
      <c r="CM188">
        <v>120000</v>
      </c>
      <c r="CN188">
        <v>60000</v>
      </c>
      <c r="CO188">
        <v>60000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18000</v>
      </c>
      <c r="CW188">
        <v>53400</v>
      </c>
      <c r="CX188">
        <v>222000</v>
      </c>
      <c r="CY188">
        <v>120000</v>
      </c>
      <c r="CZ188">
        <v>240000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 s="14">
        <v>5520570</v>
      </c>
      <c r="DI188" s="15" t="s">
        <v>759</v>
      </c>
      <c r="DJ188" s="11" t="str">
        <f t="shared" si="5"/>
        <v>KENNETH ANDERSON</v>
      </c>
      <c r="DK188" s="16" t="s">
        <v>604</v>
      </c>
      <c r="DL188" s="17" t="s">
        <v>847</v>
      </c>
      <c r="DM188" s="16">
        <v>6211111</v>
      </c>
    </row>
    <row r="189" spans="1:117" x14ac:dyDescent="0.25">
      <c r="A189" s="11" t="str">
        <f t="shared" si="4"/>
        <v>MARK WILLIAMS - UNIT WILAYAH UTARA</v>
      </c>
      <c r="B189" s="12">
        <v>11115108</v>
      </c>
      <c r="C189" s="12" t="s">
        <v>521</v>
      </c>
      <c r="D189" s="13" t="s">
        <v>169</v>
      </c>
      <c r="E189" t="s">
        <v>116</v>
      </c>
      <c r="F189" t="s">
        <v>351</v>
      </c>
      <c r="G189" t="s">
        <v>352</v>
      </c>
      <c r="H189" t="s">
        <v>355</v>
      </c>
      <c r="I189" t="s">
        <v>378</v>
      </c>
      <c r="J189" t="s">
        <v>437</v>
      </c>
      <c r="K189" t="s">
        <v>119</v>
      </c>
      <c r="L189" t="s">
        <v>120</v>
      </c>
      <c r="M189">
        <v>0</v>
      </c>
      <c r="N189">
        <v>0</v>
      </c>
      <c r="O189">
        <v>0</v>
      </c>
      <c r="P189">
        <v>0</v>
      </c>
      <c r="Q189">
        <v>4961753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94822</v>
      </c>
      <c r="BK189">
        <v>0</v>
      </c>
      <c r="BL189">
        <v>0</v>
      </c>
      <c r="BM189">
        <v>20000</v>
      </c>
      <c r="BN189">
        <v>1000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99235</v>
      </c>
      <c r="CN189">
        <v>49618</v>
      </c>
      <c r="CO189">
        <v>49618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14885</v>
      </c>
      <c r="CW189">
        <v>44160</v>
      </c>
      <c r="CX189">
        <v>183585</v>
      </c>
      <c r="CY189">
        <v>99235</v>
      </c>
      <c r="CZ189">
        <v>198470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 s="14">
        <v>4647460</v>
      </c>
      <c r="DI189" s="11" t="s">
        <v>744</v>
      </c>
      <c r="DJ189" s="11" t="str">
        <f t="shared" si="5"/>
        <v>MARK WILLIAMS</v>
      </c>
      <c r="DK189" s="16" t="s">
        <v>604</v>
      </c>
      <c r="DL189" s="16" t="s">
        <v>839</v>
      </c>
      <c r="DM189" s="16">
        <v>6211111</v>
      </c>
    </row>
    <row r="190" spans="1:117" x14ac:dyDescent="0.25">
      <c r="A190" s="11" t="str">
        <f t="shared" si="4"/>
        <v>ROBERT WRIGHT - UNIT WILAYAH UTARA</v>
      </c>
      <c r="B190" s="12">
        <v>11113862</v>
      </c>
      <c r="C190" s="12" t="s">
        <v>522</v>
      </c>
      <c r="D190" s="13" t="s">
        <v>251</v>
      </c>
      <c r="E190" t="s">
        <v>116</v>
      </c>
      <c r="F190" t="s">
        <v>351</v>
      </c>
      <c r="G190" t="s">
        <v>352</v>
      </c>
      <c r="H190" t="s">
        <v>355</v>
      </c>
      <c r="I190" t="s">
        <v>378</v>
      </c>
      <c r="J190" t="s">
        <v>437</v>
      </c>
      <c r="K190" t="s">
        <v>117</v>
      </c>
      <c r="L190" t="s">
        <v>118</v>
      </c>
      <c r="M190">
        <v>569000</v>
      </c>
      <c r="N190">
        <v>1697000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650000</v>
      </c>
      <c r="U190">
        <v>1871000</v>
      </c>
      <c r="V190">
        <v>175000</v>
      </c>
      <c r="W190">
        <v>0</v>
      </c>
      <c r="X190">
        <v>150000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417936</v>
      </c>
      <c r="BK190">
        <v>0</v>
      </c>
      <c r="BL190">
        <v>0</v>
      </c>
      <c r="BM190">
        <v>20000</v>
      </c>
      <c r="BN190">
        <v>1000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99240</v>
      </c>
      <c r="CN190">
        <v>49620</v>
      </c>
      <c r="CO190">
        <v>49620</v>
      </c>
      <c r="CP190">
        <v>0</v>
      </c>
      <c r="CQ190">
        <v>0</v>
      </c>
      <c r="CR190">
        <v>0</v>
      </c>
      <c r="CS190">
        <v>0</v>
      </c>
      <c r="CT190">
        <v>173670</v>
      </c>
      <c r="CU190">
        <v>0</v>
      </c>
      <c r="CV190">
        <v>14886</v>
      </c>
      <c r="CW190">
        <v>44162</v>
      </c>
      <c r="CX190">
        <v>183594</v>
      </c>
      <c r="CY190">
        <v>99240</v>
      </c>
      <c r="CZ190">
        <v>198480</v>
      </c>
      <c r="DA190">
        <v>0</v>
      </c>
      <c r="DB190">
        <v>0</v>
      </c>
      <c r="DC190">
        <v>0</v>
      </c>
      <c r="DD190">
        <v>0</v>
      </c>
      <c r="DE190">
        <v>372150</v>
      </c>
      <c r="DF190">
        <v>0</v>
      </c>
      <c r="DG190">
        <v>0</v>
      </c>
      <c r="DH190" s="14">
        <v>4300914</v>
      </c>
      <c r="DI190" s="11" t="s">
        <v>747</v>
      </c>
      <c r="DJ190" s="11" t="str">
        <f t="shared" si="5"/>
        <v>ROBERT WRIGHT</v>
      </c>
      <c r="DK190" s="16" t="s">
        <v>604</v>
      </c>
      <c r="DL190" s="16" t="s">
        <v>823</v>
      </c>
      <c r="DM190" s="16">
        <v>6211111</v>
      </c>
    </row>
    <row r="191" spans="1:117" x14ac:dyDescent="0.25">
      <c r="A191" s="11" t="str">
        <f t="shared" si="4"/>
        <v>ANTHONY HARRIS - UNIT WILAYAH UTARA</v>
      </c>
      <c r="B191" s="12">
        <v>11113858</v>
      </c>
      <c r="C191" s="12" t="s">
        <v>524</v>
      </c>
      <c r="D191" s="13" t="s">
        <v>321</v>
      </c>
      <c r="E191" t="s">
        <v>116</v>
      </c>
      <c r="F191" t="s">
        <v>351</v>
      </c>
      <c r="G191" t="s">
        <v>352</v>
      </c>
      <c r="H191" t="s">
        <v>355</v>
      </c>
      <c r="I191" t="s">
        <v>393</v>
      </c>
      <c r="J191" t="s">
        <v>438</v>
      </c>
      <c r="K191" t="s">
        <v>119</v>
      </c>
      <c r="L191" t="s">
        <v>120</v>
      </c>
      <c r="M191">
        <v>0</v>
      </c>
      <c r="N191">
        <v>0</v>
      </c>
      <c r="O191">
        <v>0</v>
      </c>
      <c r="P191">
        <v>0</v>
      </c>
      <c r="Q191">
        <v>6188000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620400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63248</v>
      </c>
      <c r="BJ191">
        <v>0</v>
      </c>
      <c r="BK191">
        <v>0</v>
      </c>
      <c r="BL191">
        <v>0</v>
      </c>
      <c r="BM191">
        <v>20000</v>
      </c>
      <c r="BN191">
        <v>1000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86816</v>
      </c>
      <c r="CM191">
        <v>123760</v>
      </c>
      <c r="CN191">
        <v>61880</v>
      </c>
      <c r="CO191">
        <v>61880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18564</v>
      </c>
      <c r="CW191">
        <v>55073</v>
      </c>
      <c r="CX191">
        <v>228956</v>
      </c>
      <c r="CY191">
        <v>123760</v>
      </c>
      <c r="CZ191">
        <v>247520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 s="14">
        <v>6516312</v>
      </c>
      <c r="DI191" s="11" t="s">
        <v>715</v>
      </c>
      <c r="DJ191" s="11" t="str">
        <f t="shared" si="5"/>
        <v>ANTHONY HARRIS</v>
      </c>
      <c r="DK191" s="16" t="s">
        <v>604</v>
      </c>
      <c r="DL191" s="16" t="s">
        <v>846</v>
      </c>
      <c r="DM191" s="16">
        <v>6211111</v>
      </c>
    </row>
    <row r="192" spans="1:117" x14ac:dyDescent="0.25">
      <c r="A192" s="11" t="str">
        <f t="shared" si="4"/>
        <v>CHARLES KING - UNIT WILAYAH UTARA</v>
      </c>
      <c r="B192" s="12">
        <v>11113906</v>
      </c>
      <c r="C192" s="12" t="s">
        <v>527</v>
      </c>
      <c r="D192" s="13" t="s">
        <v>220</v>
      </c>
      <c r="E192" t="s">
        <v>116</v>
      </c>
      <c r="F192" t="s">
        <v>351</v>
      </c>
      <c r="G192" t="s">
        <v>352</v>
      </c>
      <c r="H192" t="s">
        <v>355</v>
      </c>
      <c r="I192" t="s">
        <v>392</v>
      </c>
      <c r="J192" t="s">
        <v>438</v>
      </c>
      <c r="K192" t="s">
        <v>119</v>
      </c>
      <c r="L192" t="s">
        <v>120</v>
      </c>
      <c r="M192">
        <v>0</v>
      </c>
      <c r="N192">
        <v>0</v>
      </c>
      <c r="O192">
        <v>0</v>
      </c>
      <c r="P192">
        <v>0</v>
      </c>
      <c r="Q192">
        <v>6000000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45879</v>
      </c>
      <c r="BJ192">
        <v>0</v>
      </c>
      <c r="BK192">
        <v>0</v>
      </c>
      <c r="BL192">
        <v>0</v>
      </c>
      <c r="BM192">
        <v>20000</v>
      </c>
      <c r="BN192">
        <v>1000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45879</v>
      </c>
      <c r="CM192">
        <v>120000</v>
      </c>
      <c r="CN192">
        <v>60000</v>
      </c>
      <c r="CO192">
        <v>60000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18000</v>
      </c>
      <c r="CW192">
        <v>53400</v>
      </c>
      <c r="CX192">
        <v>222000</v>
      </c>
      <c r="CY192">
        <v>120000</v>
      </c>
      <c r="CZ192">
        <v>240000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 s="14">
        <v>5739000</v>
      </c>
      <c r="DI192" s="11" t="s">
        <v>728</v>
      </c>
      <c r="DJ192" s="11" t="str">
        <f t="shared" si="5"/>
        <v>CHARLES KING</v>
      </c>
      <c r="DK192" s="16" t="s">
        <v>604</v>
      </c>
      <c r="DL192" s="16" t="s">
        <v>852</v>
      </c>
      <c r="DM192" s="16">
        <v>6211111</v>
      </c>
    </row>
    <row r="193" spans="1:117" x14ac:dyDescent="0.25">
      <c r="A193" s="11" t="str">
        <f t="shared" si="4"/>
        <v>CHRISTOPHER GONZALEZ - UNIT WILAYAH UTARA</v>
      </c>
      <c r="B193" s="12">
        <v>11116080</v>
      </c>
      <c r="C193" s="12" t="s">
        <v>525</v>
      </c>
      <c r="D193" s="13" t="s">
        <v>338</v>
      </c>
      <c r="E193" t="s">
        <v>116</v>
      </c>
      <c r="F193" t="s">
        <v>351</v>
      </c>
      <c r="G193" t="s">
        <v>352</v>
      </c>
      <c r="H193" t="s">
        <v>355</v>
      </c>
      <c r="I193" t="s">
        <v>393</v>
      </c>
      <c r="J193" t="s">
        <v>438</v>
      </c>
      <c r="K193" t="s">
        <v>119</v>
      </c>
      <c r="L193" t="s">
        <v>120</v>
      </c>
      <c r="M193">
        <v>0</v>
      </c>
      <c r="N193">
        <v>0</v>
      </c>
      <c r="O193">
        <v>0</v>
      </c>
      <c r="P193">
        <v>0</v>
      </c>
      <c r="Q193">
        <v>5000000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474100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116550</v>
      </c>
      <c r="BK193">
        <v>0</v>
      </c>
      <c r="BL193">
        <v>0</v>
      </c>
      <c r="BM193">
        <v>20000</v>
      </c>
      <c r="BN193">
        <v>1000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13834</v>
      </c>
      <c r="CM193">
        <v>100000</v>
      </c>
      <c r="CN193">
        <v>50000</v>
      </c>
      <c r="CO193">
        <v>50000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15000</v>
      </c>
      <c r="CW193">
        <v>44500</v>
      </c>
      <c r="CX193">
        <v>185000</v>
      </c>
      <c r="CY193">
        <v>100000</v>
      </c>
      <c r="CZ193">
        <v>200000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 s="14">
        <v>5122716</v>
      </c>
      <c r="DI193" s="11" t="s">
        <v>761</v>
      </c>
      <c r="DJ193" s="11" t="str">
        <f t="shared" si="5"/>
        <v>CHRISTOPHER GONZALEZ</v>
      </c>
      <c r="DK193" s="16" t="s">
        <v>604</v>
      </c>
      <c r="DL193" s="16" t="s">
        <v>868</v>
      </c>
      <c r="DM193" s="16">
        <v>6211111</v>
      </c>
    </row>
    <row r="194" spans="1:117" x14ac:dyDescent="0.25">
      <c r="A194" s="11" t="str">
        <f t="shared" si="4"/>
        <v>DEBORAH RIVERA - UNIT WILAYAH UTARA</v>
      </c>
      <c r="B194" s="12">
        <v>11113847</v>
      </c>
      <c r="C194" s="12" t="s">
        <v>526</v>
      </c>
      <c r="D194" s="13" t="s">
        <v>204</v>
      </c>
      <c r="E194" t="s">
        <v>116</v>
      </c>
      <c r="F194" t="s">
        <v>351</v>
      </c>
      <c r="G194" t="s">
        <v>352</v>
      </c>
      <c r="H194" t="s">
        <v>355</v>
      </c>
      <c r="I194" t="s">
        <v>392</v>
      </c>
      <c r="J194" t="s">
        <v>438</v>
      </c>
      <c r="K194" t="s">
        <v>119</v>
      </c>
      <c r="L194" t="s">
        <v>120</v>
      </c>
      <c r="M194">
        <v>0</v>
      </c>
      <c r="N194">
        <v>0</v>
      </c>
      <c r="O194">
        <v>0</v>
      </c>
      <c r="P194">
        <v>0</v>
      </c>
      <c r="Q194">
        <v>4961753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20000</v>
      </c>
      <c r="BN194">
        <v>1000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99235</v>
      </c>
      <c r="CN194">
        <v>49618</v>
      </c>
      <c r="CO194">
        <v>49618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14885</v>
      </c>
      <c r="CW194">
        <v>44160</v>
      </c>
      <c r="CX194">
        <v>183585</v>
      </c>
      <c r="CY194">
        <v>99235</v>
      </c>
      <c r="CZ194">
        <v>198470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 s="14">
        <v>4742282</v>
      </c>
      <c r="DI194" s="11" t="s">
        <v>743</v>
      </c>
      <c r="DJ194" s="11" t="str">
        <f t="shared" si="5"/>
        <v>DEBORAH RIVERA</v>
      </c>
      <c r="DK194" s="16" t="s">
        <v>604</v>
      </c>
      <c r="DL194" s="16" t="s">
        <v>841</v>
      </c>
      <c r="DM194" s="16">
        <v>6211111</v>
      </c>
    </row>
    <row r="195" spans="1:117" x14ac:dyDescent="0.25">
      <c r="A195" s="11" t="str">
        <f t="shared" si="4"/>
        <v>DONNA NELSON - UNIT WILAYAH UTARA</v>
      </c>
      <c r="B195" s="12">
        <v>11101097</v>
      </c>
      <c r="C195" s="12" t="s">
        <v>557</v>
      </c>
      <c r="D195" s="13" t="s">
        <v>212</v>
      </c>
      <c r="E195" t="s">
        <v>116</v>
      </c>
      <c r="F195" t="s">
        <v>351</v>
      </c>
      <c r="G195" t="s">
        <v>352</v>
      </c>
      <c r="H195" t="s">
        <v>355</v>
      </c>
      <c r="I195" t="s">
        <v>392</v>
      </c>
      <c r="J195" t="s">
        <v>438</v>
      </c>
      <c r="K195" t="s">
        <v>117</v>
      </c>
      <c r="L195" t="s">
        <v>118</v>
      </c>
      <c r="M195">
        <v>1697000</v>
      </c>
      <c r="N195">
        <v>4819000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650000</v>
      </c>
      <c r="U195">
        <v>1613000</v>
      </c>
      <c r="V195">
        <v>175000</v>
      </c>
      <c r="W195">
        <v>0</v>
      </c>
      <c r="X195">
        <v>150000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163748</v>
      </c>
      <c r="BJ195">
        <v>0</v>
      </c>
      <c r="BK195">
        <v>0</v>
      </c>
      <c r="BL195">
        <v>100000</v>
      </c>
      <c r="BM195">
        <v>20000</v>
      </c>
      <c r="BN195">
        <v>1000</v>
      </c>
      <c r="BO195">
        <v>0</v>
      </c>
      <c r="BP195">
        <v>0</v>
      </c>
      <c r="BQ195">
        <v>101500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163748</v>
      </c>
      <c r="CM195">
        <v>150100</v>
      </c>
      <c r="CN195">
        <v>75050</v>
      </c>
      <c r="CO195">
        <v>75050</v>
      </c>
      <c r="CP195">
        <v>0</v>
      </c>
      <c r="CQ195">
        <v>25660</v>
      </c>
      <c r="CR195">
        <v>0</v>
      </c>
      <c r="CS195">
        <v>83395</v>
      </c>
      <c r="CT195">
        <v>0</v>
      </c>
      <c r="CU195">
        <v>0</v>
      </c>
      <c r="CV195">
        <v>22515</v>
      </c>
      <c r="CW195">
        <v>66795</v>
      </c>
      <c r="CX195">
        <v>277685</v>
      </c>
      <c r="CY195">
        <v>150100</v>
      </c>
      <c r="CZ195">
        <v>300200</v>
      </c>
      <c r="DA195">
        <v>0</v>
      </c>
      <c r="DB195">
        <v>51320</v>
      </c>
      <c r="DC195">
        <v>87244</v>
      </c>
      <c r="DD195">
        <v>0</v>
      </c>
      <c r="DE195">
        <v>0</v>
      </c>
      <c r="DF195">
        <v>0</v>
      </c>
      <c r="DG195">
        <v>0</v>
      </c>
      <c r="DH195" s="14">
        <v>8472245</v>
      </c>
      <c r="DI195" s="15" t="s">
        <v>777</v>
      </c>
      <c r="DJ195" s="11" t="str">
        <f t="shared" si="5"/>
        <v>DONNA NELSON</v>
      </c>
      <c r="DK195" s="16" t="s">
        <v>604</v>
      </c>
      <c r="DL195" s="17" t="s">
        <v>867</v>
      </c>
      <c r="DM195" s="16">
        <v>6211111</v>
      </c>
    </row>
    <row r="196" spans="1:117" x14ac:dyDescent="0.25">
      <c r="A196" s="11" t="str">
        <f t="shared" si="4"/>
        <v>EMILY KING - UNIT WILAYAH UTARA</v>
      </c>
      <c r="B196" s="12">
        <v>11101355</v>
      </c>
      <c r="C196" s="12" t="s">
        <v>568</v>
      </c>
      <c r="D196" s="13" t="s">
        <v>261</v>
      </c>
      <c r="E196" t="s">
        <v>116</v>
      </c>
      <c r="F196" t="s">
        <v>351</v>
      </c>
      <c r="G196" t="s">
        <v>352</v>
      </c>
      <c r="H196" t="s">
        <v>355</v>
      </c>
      <c r="I196" t="s">
        <v>393</v>
      </c>
      <c r="J196" t="s">
        <v>438</v>
      </c>
      <c r="K196" t="s">
        <v>117</v>
      </c>
      <c r="L196" t="s">
        <v>118</v>
      </c>
      <c r="M196">
        <v>2172700</v>
      </c>
      <c r="N196">
        <v>6306600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650000</v>
      </c>
      <c r="U196">
        <v>1613000</v>
      </c>
      <c r="V196">
        <v>175000</v>
      </c>
      <c r="W196">
        <v>0</v>
      </c>
      <c r="X196">
        <v>150000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355600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227991</v>
      </c>
      <c r="BJ196">
        <v>0</v>
      </c>
      <c r="BK196">
        <v>0</v>
      </c>
      <c r="BL196">
        <v>100000</v>
      </c>
      <c r="BM196">
        <v>20000</v>
      </c>
      <c r="BN196">
        <v>1000</v>
      </c>
      <c r="BO196">
        <v>0</v>
      </c>
      <c r="BP196">
        <v>0</v>
      </c>
      <c r="BQ196">
        <v>101500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235103</v>
      </c>
      <c r="CM196">
        <v>175260</v>
      </c>
      <c r="CN196">
        <v>87630</v>
      </c>
      <c r="CO196">
        <v>87630</v>
      </c>
      <c r="CP196">
        <v>0</v>
      </c>
      <c r="CQ196">
        <v>31400</v>
      </c>
      <c r="CR196">
        <v>0</v>
      </c>
      <c r="CS196">
        <v>102050</v>
      </c>
      <c r="CT196">
        <v>0</v>
      </c>
      <c r="CU196">
        <v>0</v>
      </c>
      <c r="CV196">
        <v>26289</v>
      </c>
      <c r="CW196">
        <v>77991</v>
      </c>
      <c r="CX196">
        <v>324231</v>
      </c>
      <c r="CY196">
        <v>175260</v>
      </c>
      <c r="CZ196">
        <v>350520</v>
      </c>
      <c r="DA196">
        <v>0</v>
      </c>
      <c r="DB196">
        <v>62800</v>
      </c>
      <c r="DC196">
        <v>106760</v>
      </c>
      <c r="DD196">
        <v>0</v>
      </c>
      <c r="DE196">
        <v>0</v>
      </c>
      <c r="DF196">
        <v>0</v>
      </c>
      <c r="DG196">
        <v>0</v>
      </c>
      <c r="DH196" s="14">
        <v>10709318</v>
      </c>
      <c r="DI196" s="15" t="s">
        <v>788</v>
      </c>
      <c r="DJ196" s="11" t="str">
        <f t="shared" si="5"/>
        <v>EMILY KING</v>
      </c>
      <c r="DK196" s="16" t="s">
        <v>604</v>
      </c>
      <c r="DL196" s="17" t="s">
        <v>831</v>
      </c>
      <c r="DM196" s="16">
        <v>6211111</v>
      </c>
    </row>
    <row r="197" spans="1:117" x14ac:dyDescent="0.25">
      <c r="A197" s="11" t="str">
        <f t="shared" si="4"/>
        <v>MATTHEW BROWN - UNIT WILAYAH UTARA</v>
      </c>
      <c r="B197" s="12">
        <v>11241211111101</v>
      </c>
      <c r="C197" s="12">
        <v>11241211111101</v>
      </c>
      <c r="D197" s="13" t="s">
        <v>347</v>
      </c>
      <c r="E197" t="s">
        <v>122</v>
      </c>
      <c r="F197" t="s">
        <v>351</v>
      </c>
      <c r="G197" t="s">
        <v>352</v>
      </c>
      <c r="H197" t="s">
        <v>356</v>
      </c>
      <c r="I197" t="s">
        <v>392</v>
      </c>
      <c r="J197" t="s">
        <v>438</v>
      </c>
      <c r="K197">
        <v>0</v>
      </c>
      <c r="L197" t="s">
        <v>123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3000000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 s="14">
        <v>3000000</v>
      </c>
      <c r="DI197" s="11" t="s">
        <v>644</v>
      </c>
      <c r="DJ197" s="11" t="str">
        <f t="shared" si="5"/>
        <v>MATTHEW BROWN</v>
      </c>
      <c r="DK197" s="16" t="s">
        <v>604</v>
      </c>
      <c r="DL197" s="16" t="s">
        <v>849</v>
      </c>
      <c r="DM197" s="16">
        <v>6211111</v>
      </c>
    </row>
    <row r="198" spans="1:117" x14ac:dyDescent="0.25">
      <c r="A198" s="11" t="str">
        <f t="shared" ref="A198:A220" si="6">D198&amp;" "&amp;"-"&amp;" "&amp;F198</f>
        <v>PAUL SANCHEZ - UNIT WILAYAH UTARA</v>
      </c>
      <c r="B198" s="12">
        <v>11113856</v>
      </c>
      <c r="C198" s="12" t="s">
        <v>597</v>
      </c>
      <c r="D198" s="13" t="s">
        <v>208</v>
      </c>
      <c r="E198" t="s">
        <v>116</v>
      </c>
      <c r="F198" t="s">
        <v>351</v>
      </c>
      <c r="G198" t="s">
        <v>352</v>
      </c>
      <c r="H198" t="s">
        <v>355</v>
      </c>
      <c r="I198" t="s">
        <v>393</v>
      </c>
      <c r="J198" t="s">
        <v>438</v>
      </c>
      <c r="K198" t="s">
        <v>119</v>
      </c>
      <c r="L198" t="s">
        <v>120</v>
      </c>
      <c r="M198">
        <v>0</v>
      </c>
      <c r="N198">
        <v>0</v>
      </c>
      <c r="O198">
        <v>0</v>
      </c>
      <c r="P198">
        <v>0</v>
      </c>
      <c r="Q198">
        <v>4961753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355600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10000</v>
      </c>
      <c r="BK198">
        <v>0</v>
      </c>
      <c r="BL198">
        <v>0</v>
      </c>
      <c r="BM198">
        <v>20000</v>
      </c>
      <c r="BN198">
        <v>1000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99235</v>
      </c>
      <c r="CN198">
        <v>49618</v>
      </c>
      <c r="CO198">
        <v>49618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14885</v>
      </c>
      <c r="CW198">
        <v>44160</v>
      </c>
      <c r="CX198">
        <v>183585</v>
      </c>
      <c r="CY198">
        <v>99235</v>
      </c>
      <c r="CZ198">
        <v>198470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 s="14">
        <v>5087882</v>
      </c>
      <c r="DI198" s="11" t="s">
        <v>817</v>
      </c>
      <c r="DJ198" s="11" t="str">
        <f t="shared" ref="DJ198:DJ220" si="7">D198</f>
        <v>PAUL SANCHEZ</v>
      </c>
      <c r="DK198" s="16" t="s">
        <v>604</v>
      </c>
      <c r="DL198" s="16" t="s">
        <v>820</v>
      </c>
      <c r="DM198" s="16">
        <v>6211111</v>
      </c>
    </row>
    <row r="199" spans="1:117" x14ac:dyDescent="0.25">
      <c r="A199" s="11" t="str">
        <f t="shared" si="6"/>
        <v>ASHLEY JACKSON - UNIT WILAYAH UTARA</v>
      </c>
      <c r="B199" s="12">
        <v>11103010</v>
      </c>
      <c r="C199" s="12" t="s">
        <v>446</v>
      </c>
      <c r="D199" s="13" t="s">
        <v>313</v>
      </c>
      <c r="E199" t="s">
        <v>116</v>
      </c>
      <c r="F199" t="s">
        <v>351</v>
      </c>
      <c r="G199" t="s">
        <v>352</v>
      </c>
      <c r="H199" t="s">
        <v>355</v>
      </c>
      <c r="I199" t="s">
        <v>382</v>
      </c>
      <c r="J199" t="s">
        <v>404</v>
      </c>
      <c r="K199" t="s">
        <v>119</v>
      </c>
      <c r="L199" t="s">
        <v>120</v>
      </c>
      <c r="M199">
        <v>0</v>
      </c>
      <c r="N199">
        <v>0</v>
      </c>
      <c r="O199">
        <v>0</v>
      </c>
      <c r="P199">
        <v>0</v>
      </c>
      <c r="Q199">
        <v>6916000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88586</v>
      </c>
      <c r="BJ199">
        <v>10000</v>
      </c>
      <c r="BK199">
        <v>0</v>
      </c>
      <c r="BL199">
        <v>0</v>
      </c>
      <c r="BM199">
        <v>20000</v>
      </c>
      <c r="BN199">
        <v>1000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88586</v>
      </c>
      <c r="CM199">
        <v>138320</v>
      </c>
      <c r="CN199">
        <v>69160</v>
      </c>
      <c r="CO199">
        <v>69160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20748</v>
      </c>
      <c r="CW199">
        <v>61552</v>
      </c>
      <c r="CX199">
        <v>255892</v>
      </c>
      <c r="CY199">
        <v>138320</v>
      </c>
      <c r="CZ199">
        <v>276640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 s="14">
        <v>6608360</v>
      </c>
      <c r="DI199" s="15" t="s">
        <v>668</v>
      </c>
      <c r="DJ199" s="11" t="str">
        <f t="shared" si="7"/>
        <v>ASHLEY JACKSON</v>
      </c>
      <c r="DK199" s="16" t="s">
        <v>604</v>
      </c>
      <c r="DL199" s="17" t="s">
        <v>828</v>
      </c>
      <c r="DM199" s="16">
        <v>6211111</v>
      </c>
    </row>
    <row r="200" spans="1:117" x14ac:dyDescent="0.25">
      <c r="A200" s="11" t="str">
        <f t="shared" si="6"/>
        <v>MELISSA ROBERTS - UNIT WILAYAH UTARA</v>
      </c>
      <c r="B200" s="12">
        <v>11102134</v>
      </c>
      <c r="C200" s="12" t="s">
        <v>593</v>
      </c>
      <c r="D200" s="13" t="s">
        <v>322</v>
      </c>
      <c r="E200" t="s">
        <v>116</v>
      </c>
      <c r="F200" t="s">
        <v>351</v>
      </c>
      <c r="G200" t="s">
        <v>352</v>
      </c>
      <c r="H200" t="s">
        <v>355</v>
      </c>
      <c r="I200" t="s">
        <v>382</v>
      </c>
      <c r="J200" t="s">
        <v>404</v>
      </c>
      <c r="K200" t="s">
        <v>117</v>
      </c>
      <c r="L200" t="s">
        <v>118</v>
      </c>
      <c r="M200">
        <v>1532500</v>
      </c>
      <c r="N200">
        <v>4614000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650000</v>
      </c>
      <c r="U200">
        <v>1613000</v>
      </c>
      <c r="V200">
        <v>175000</v>
      </c>
      <c r="W200">
        <v>0</v>
      </c>
      <c r="X200">
        <v>150000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89098</v>
      </c>
      <c r="BJ200">
        <v>0</v>
      </c>
      <c r="BK200">
        <v>0</v>
      </c>
      <c r="BL200">
        <v>100000</v>
      </c>
      <c r="BM200">
        <v>20000</v>
      </c>
      <c r="BN200">
        <v>1000</v>
      </c>
      <c r="BO200">
        <v>0</v>
      </c>
      <c r="BP200">
        <v>0</v>
      </c>
      <c r="BQ200">
        <v>101500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89098</v>
      </c>
      <c r="CM200">
        <v>144960</v>
      </c>
      <c r="CN200">
        <v>72480</v>
      </c>
      <c r="CO200">
        <v>72480</v>
      </c>
      <c r="CP200">
        <v>0</v>
      </c>
      <c r="CQ200">
        <v>23720</v>
      </c>
      <c r="CR200">
        <v>0</v>
      </c>
      <c r="CS200">
        <v>77090</v>
      </c>
      <c r="CT200">
        <v>0</v>
      </c>
      <c r="CU200">
        <v>0</v>
      </c>
      <c r="CV200">
        <v>21744</v>
      </c>
      <c r="CW200">
        <v>64507</v>
      </c>
      <c r="CX200">
        <v>268176</v>
      </c>
      <c r="CY200">
        <v>144960</v>
      </c>
      <c r="CZ200">
        <v>289920</v>
      </c>
      <c r="DA200">
        <v>0</v>
      </c>
      <c r="DB200">
        <v>47440</v>
      </c>
      <c r="DC200">
        <v>80648</v>
      </c>
      <c r="DD200">
        <v>0</v>
      </c>
      <c r="DE200">
        <v>0</v>
      </c>
      <c r="DF200">
        <v>0</v>
      </c>
      <c r="DG200">
        <v>0</v>
      </c>
      <c r="DH200" s="14">
        <v>8121270</v>
      </c>
      <c r="DI200" s="15" t="s">
        <v>813</v>
      </c>
      <c r="DJ200" s="11" t="str">
        <f t="shared" si="7"/>
        <v>MELISSA ROBERTS</v>
      </c>
      <c r="DK200" s="16" t="s">
        <v>604</v>
      </c>
      <c r="DL200" s="17" t="s">
        <v>856</v>
      </c>
      <c r="DM200" s="16">
        <v>6211111</v>
      </c>
    </row>
    <row r="201" spans="1:117" x14ac:dyDescent="0.25">
      <c r="A201" s="11" t="str">
        <f t="shared" si="6"/>
        <v>SARAH ALLEN - UNIT WILAYAH UTARA</v>
      </c>
      <c r="B201" s="12">
        <v>11250113111101</v>
      </c>
      <c r="C201" s="12">
        <v>11250113111101</v>
      </c>
      <c r="D201" s="13" t="s">
        <v>192</v>
      </c>
      <c r="E201" t="s">
        <v>122</v>
      </c>
      <c r="F201" t="s">
        <v>351</v>
      </c>
      <c r="G201" t="s">
        <v>352</v>
      </c>
      <c r="H201" t="s">
        <v>356</v>
      </c>
      <c r="I201" t="s">
        <v>382</v>
      </c>
      <c r="J201" t="s">
        <v>404</v>
      </c>
      <c r="K201">
        <v>0</v>
      </c>
      <c r="L201" t="s">
        <v>123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3000000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 s="14">
        <v>3000000</v>
      </c>
      <c r="DI201" s="11" t="s">
        <v>646</v>
      </c>
      <c r="DJ201" s="11" t="str">
        <f t="shared" si="7"/>
        <v>SARAH ALLEN</v>
      </c>
      <c r="DK201" s="16" t="s">
        <v>604</v>
      </c>
      <c r="DL201" s="16" t="s">
        <v>850</v>
      </c>
      <c r="DM201" s="16">
        <v>6211111</v>
      </c>
    </row>
    <row r="202" spans="1:117" x14ac:dyDescent="0.25">
      <c r="A202" s="11" t="str">
        <f t="shared" si="6"/>
        <v>THOMAS WALKER - UNIT WILAYAH UTARA</v>
      </c>
      <c r="B202" s="12">
        <v>11113866</v>
      </c>
      <c r="C202" s="12" t="s">
        <v>445</v>
      </c>
      <c r="D202" s="13" t="s">
        <v>176</v>
      </c>
      <c r="E202" t="s">
        <v>116</v>
      </c>
      <c r="F202" t="s">
        <v>351</v>
      </c>
      <c r="G202" t="s">
        <v>352</v>
      </c>
      <c r="H202" t="s">
        <v>355</v>
      </c>
      <c r="I202" t="s">
        <v>382</v>
      </c>
      <c r="J202" t="s">
        <v>404</v>
      </c>
      <c r="K202" t="s">
        <v>119</v>
      </c>
      <c r="L202" t="s">
        <v>120</v>
      </c>
      <c r="M202">
        <v>0</v>
      </c>
      <c r="N202">
        <v>0</v>
      </c>
      <c r="O202">
        <v>0</v>
      </c>
      <c r="P202">
        <v>0</v>
      </c>
      <c r="Q202">
        <v>5000000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20000</v>
      </c>
      <c r="BN202">
        <v>1000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100000</v>
      </c>
      <c r="CN202">
        <v>50000</v>
      </c>
      <c r="CO202">
        <v>50000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15000</v>
      </c>
      <c r="CW202">
        <v>44500</v>
      </c>
      <c r="CX202">
        <v>185000</v>
      </c>
      <c r="CY202">
        <v>100000</v>
      </c>
      <c r="CZ202">
        <v>200000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 s="14">
        <v>4779000</v>
      </c>
      <c r="DI202" s="11" t="s">
        <v>750</v>
      </c>
      <c r="DJ202" s="11" t="str">
        <f t="shared" si="7"/>
        <v>THOMAS WALKER</v>
      </c>
      <c r="DK202" s="16" t="s">
        <v>604</v>
      </c>
      <c r="DL202" s="16" t="s">
        <v>832</v>
      </c>
      <c r="DM202" s="16">
        <v>6211111</v>
      </c>
    </row>
    <row r="203" spans="1:117" x14ac:dyDescent="0.25">
      <c r="A203" s="11" t="str">
        <f t="shared" si="6"/>
        <v>MICHAEL TORRES - UNIT WILAYAH UTARA</v>
      </c>
      <c r="B203" s="12">
        <v>11102957</v>
      </c>
      <c r="C203" s="12" t="s">
        <v>528</v>
      </c>
      <c r="D203" s="13" t="s">
        <v>154</v>
      </c>
      <c r="E203" t="s">
        <v>116</v>
      </c>
      <c r="F203" t="s">
        <v>351</v>
      </c>
      <c r="G203" t="s">
        <v>352</v>
      </c>
      <c r="H203" t="s">
        <v>355</v>
      </c>
      <c r="I203" t="s">
        <v>368</v>
      </c>
      <c r="J203" t="s">
        <v>439</v>
      </c>
      <c r="K203" t="s">
        <v>117</v>
      </c>
      <c r="L203" t="s">
        <v>118</v>
      </c>
      <c r="M203">
        <v>858000</v>
      </c>
      <c r="N203">
        <v>2506000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650000</v>
      </c>
      <c r="U203">
        <v>1613000</v>
      </c>
      <c r="V203">
        <v>175000</v>
      </c>
      <c r="W203">
        <v>0</v>
      </c>
      <c r="X203">
        <v>150000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100000</v>
      </c>
      <c r="BM203">
        <v>20000</v>
      </c>
      <c r="BN203">
        <v>1000</v>
      </c>
      <c r="BO203">
        <v>0</v>
      </c>
      <c r="BP203">
        <v>0</v>
      </c>
      <c r="BQ203">
        <v>101500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101280</v>
      </c>
      <c r="CN203">
        <v>50640</v>
      </c>
      <c r="CO203">
        <v>50640</v>
      </c>
      <c r="CP203">
        <v>0</v>
      </c>
      <c r="CQ203">
        <v>0</v>
      </c>
      <c r="CR203">
        <v>0</v>
      </c>
      <c r="CS203">
        <v>0</v>
      </c>
      <c r="CT203">
        <v>177240</v>
      </c>
      <c r="CU203">
        <v>0</v>
      </c>
      <c r="CV203">
        <v>15192</v>
      </c>
      <c r="CW203">
        <v>45070</v>
      </c>
      <c r="CX203">
        <v>187368</v>
      </c>
      <c r="CY203">
        <v>101280</v>
      </c>
      <c r="CZ203">
        <v>202560</v>
      </c>
      <c r="DA203">
        <v>0</v>
      </c>
      <c r="DB203">
        <v>0</v>
      </c>
      <c r="DC203">
        <v>0</v>
      </c>
      <c r="DD203">
        <v>0</v>
      </c>
      <c r="DE203">
        <v>379800</v>
      </c>
      <c r="DF203">
        <v>0</v>
      </c>
      <c r="DG203">
        <v>0</v>
      </c>
      <c r="DH203" s="14">
        <v>5349700</v>
      </c>
      <c r="DI203" s="15" t="s">
        <v>664</v>
      </c>
      <c r="DJ203" s="11" t="str">
        <f t="shared" si="7"/>
        <v>MICHAEL TORRES</v>
      </c>
      <c r="DK203" s="16" t="s">
        <v>604</v>
      </c>
      <c r="DL203" s="17" t="s">
        <v>857</v>
      </c>
      <c r="DM203" s="16">
        <v>6211111</v>
      </c>
    </row>
    <row r="204" spans="1:117" x14ac:dyDescent="0.25">
      <c r="A204" s="11" t="str">
        <f t="shared" si="6"/>
        <v>ASHLEY HILL - UNIT WILAYAH UTARA</v>
      </c>
      <c r="B204" s="12">
        <v>11116708</v>
      </c>
      <c r="C204" s="12" t="s">
        <v>121</v>
      </c>
      <c r="D204" s="13" t="s">
        <v>147</v>
      </c>
      <c r="E204" t="s">
        <v>116</v>
      </c>
      <c r="F204" t="s">
        <v>351</v>
      </c>
      <c r="G204" t="s">
        <v>352</v>
      </c>
      <c r="H204" t="s">
        <v>355</v>
      </c>
      <c r="I204" t="s">
        <v>362</v>
      </c>
      <c r="J204" t="s">
        <v>405</v>
      </c>
      <c r="K204" t="s">
        <v>119</v>
      </c>
      <c r="L204" t="s">
        <v>120</v>
      </c>
      <c r="M204">
        <v>0</v>
      </c>
      <c r="N204">
        <v>0</v>
      </c>
      <c r="O204">
        <v>0</v>
      </c>
      <c r="P204">
        <v>0</v>
      </c>
      <c r="Q204">
        <v>4961753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100000</v>
      </c>
      <c r="BM204">
        <v>20000</v>
      </c>
      <c r="BN204">
        <v>1000</v>
      </c>
      <c r="BO204">
        <v>0</v>
      </c>
      <c r="BP204">
        <v>0</v>
      </c>
      <c r="BQ204">
        <v>101500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99235</v>
      </c>
      <c r="CN204">
        <v>49618</v>
      </c>
      <c r="CO204">
        <v>49618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14885</v>
      </c>
      <c r="CW204">
        <v>44160</v>
      </c>
      <c r="CX204">
        <v>183585</v>
      </c>
      <c r="CY204">
        <v>99235</v>
      </c>
      <c r="CZ204">
        <v>198470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 s="14">
        <v>4540782</v>
      </c>
      <c r="DI204" s="11" t="s">
        <v>650</v>
      </c>
      <c r="DJ204" s="11" t="str">
        <f t="shared" si="7"/>
        <v>ASHLEY HILL</v>
      </c>
      <c r="DK204" s="16" t="s">
        <v>604</v>
      </c>
      <c r="DL204" s="16" t="s">
        <v>828</v>
      </c>
      <c r="DM204" s="16">
        <v>6211111</v>
      </c>
    </row>
    <row r="205" spans="1:117" x14ac:dyDescent="0.25">
      <c r="A205" s="11" t="str">
        <f t="shared" si="6"/>
        <v>EMILY JOHNSON - UNIT WILAYAH UTARA</v>
      </c>
      <c r="B205" s="12">
        <v>11116282</v>
      </c>
      <c r="C205" s="12" t="s">
        <v>448</v>
      </c>
      <c r="D205" s="13" t="s">
        <v>304</v>
      </c>
      <c r="E205" t="s">
        <v>116</v>
      </c>
      <c r="F205" t="s">
        <v>351</v>
      </c>
      <c r="G205" t="s">
        <v>352</v>
      </c>
      <c r="H205" t="s">
        <v>355</v>
      </c>
      <c r="I205" t="s">
        <v>362</v>
      </c>
      <c r="J205" t="s">
        <v>405</v>
      </c>
      <c r="K205" t="s">
        <v>119</v>
      </c>
      <c r="L205" t="s">
        <v>120</v>
      </c>
      <c r="M205">
        <v>0</v>
      </c>
      <c r="N205">
        <v>0</v>
      </c>
      <c r="O205">
        <v>0</v>
      </c>
      <c r="P205">
        <v>0</v>
      </c>
      <c r="Q205">
        <v>6000000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45879</v>
      </c>
      <c r="BJ205">
        <v>0</v>
      </c>
      <c r="BK205">
        <v>0</v>
      </c>
      <c r="BL205">
        <v>0</v>
      </c>
      <c r="BM205">
        <v>20000</v>
      </c>
      <c r="BN205">
        <v>1000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45879</v>
      </c>
      <c r="CM205">
        <v>120000</v>
      </c>
      <c r="CN205">
        <v>60000</v>
      </c>
      <c r="CO205">
        <v>60000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18000</v>
      </c>
      <c r="CW205">
        <v>53400</v>
      </c>
      <c r="CX205">
        <v>222000</v>
      </c>
      <c r="CY205">
        <v>120000</v>
      </c>
      <c r="CZ205">
        <v>240000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 s="14">
        <v>5739000</v>
      </c>
      <c r="DI205" s="11" t="s">
        <v>734</v>
      </c>
      <c r="DJ205" s="11" t="str">
        <f t="shared" si="7"/>
        <v>EMILY JOHNSON</v>
      </c>
      <c r="DK205" s="16" t="s">
        <v>604</v>
      </c>
      <c r="DL205" s="16" t="s">
        <v>831</v>
      </c>
      <c r="DM205" s="16">
        <v>6211111</v>
      </c>
    </row>
    <row r="206" spans="1:117" x14ac:dyDescent="0.25">
      <c r="A206" s="11" t="str">
        <f t="shared" si="6"/>
        <v>JOHN THOMAS - UNIT WILAYAH UTARA</v>
      </c>
      <c r="B206" s="12">
        <v>11113616</v>
      </c>
      <c r="C206" s="12" t="s">
        <v>534</v>
      </c>
      <c r="D206" s="13" t="s">
        <v>227</v>
      </c>
      <c r="E206" t="s">
        <v>116</v>
      </c>
      <c r="F206" t="s">
        <v>351</v>
      </c>
      <c r="G206" t="s">
        <v>352</v>
      </c>
      <c r="H206" t="s">
        <v>355</v>
      </c>
      <c r="I206" t="s">
        <v>362</v>
      </c>
      <c r="J206" t="s">
        <v>405</v>
      </c>
      <c r="K206" t="s">
        <v>119</v>
      </c>
      <c r="L206" t="s">
        <v>120</v>
      </c>
      <c r="M206">
        <v>0</v>
      </c>
      <c r="N206">
        <v>0</v>
      </c>
      <c r="O206">
        <v>0</v>
      </c>
      <c r="P206">
        <v>0</v>
      </c>
      <c r="Q206">
        <v>5000000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20000</v>
      </c>
      <c r="BN206">
        <v>1000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100000</v>
      </c>
      <c r="CN206">
        <v>50000</v>
      </c>
      <c r="CO206">
        <v>50000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15000</v>
      </c>
      <c r="CW206">
        <v>44500</v>
      </c>
      <c r="CX206">
        <v>185000</v>
      </c>
      <c r="CY206">
        <v>100000</v>
      </c>
      <c r="CZ206">
        <v>200000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 s="14">
        <v>4779000</v>
      </c>
      <c r="DI206" s="11" t="s">
        <v>731</v>
      </c>
      <c r="DJ206" s="11" t="str">
        <f t="shared" si="7"/>
        <v>JOHN THOMAS</v>
      </c>
      <c r="DK206" s="16" t="s">
        <v>604</v>
      </c>
      <c r="DL206" s="16" t="s">
        <v>835</v>
      </c>
      <c r="DM206" s="16">
        <v>6211111</v>
      </c>
    </row>
    <row r="207" spans="1:117" x14ac:dyDescent="0.25">
      <c r="A207" s="11" t="str">
        <f t="shared" si="6"/>
        <v>JOSEPH PEREZ - UNIT WILAYAH UTARA</v>
      </c>
      <c r="B207" s="12">
        <v>11104054</v>
      </c>
      <c r="C207" s="12" t="s">
        <v>447</v>
      </c>
      <c r="D207" s="13" t="s">
        <v>181</v>
      </c>
      <c r="E207" t="s">
        <v>116</v>
      </c>
      <c r="F207" t="s">
        <v>351</v>
      </c>
      <c r="G207" t="s">
        <v>352</v>
      </c>
      <c r="H207" t="s">
        <v>355</v>
      </c>
      <c r="I207" t="s">
        <v>362</v>
      </c>
      <c r="J207" t="s">
        <v>405</v>
      </c>
      <c r="K207" t="s">
        <v>117</v>
      </c>
      <c r="L207" t="s">
        <v>118</v>
      </c>
      <c r="M207">
        <v>942000</v>
      </c>
      <c r="N207">
        <v>2729000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650000</v>
      </c>
      <c r="U207">
        <v>1613000</v>
      </c>
      <c r="V207">
        <v>175000</v>
      </c>
      <c r="W207">
        <v>0</v>
      </c>
      <c r="X207">
        <v>150000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63865</v>
      </c>
      <c r="BJ207">
        <v>0</v>
      </c>
      <c r="BK207">
        <v>0</v>
      </c>
      <c r="BL207">
        <v>0</v>
      </c>
      <c r="BM207">
        <v>20000</v>
      </c>
      <c r="BN207">
        <v>1000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63865</v>
      </c>
      <c r="CM207">
        <v>107060</v>
      </c>
      <c r="CN207">
        <v>53530</v>
      </c>
      <c r="CO207">
        <v>53530</v>
      </c>
      <c r="CP207">
        <v>0</v>
      </c>
      <c r="CQ207">
        <v>0</v>
      </c>
      <c r="CR207">
        <v>0</v>
      </c>
      <c r="CS207">
        <v>0</v>
      </c>
      <c r="CT207">
        <v>187355</v>
      </c>
      <c r="CU207">
        <v>0</v>
      </c>
      <c r="CV207">
        <v>16059</v>
      </c>
      <c r="CW207">
        <v>47642</v>
      </c>
      <c r="CX207">
        <v>198061</v>
      </c>
      <c r="CY207">
        <v>107060</v>
      </c>
      <c r="CZ207">
        <v>214120</v>
      </c>
      <c r="DA207">
        <v>0</v>
      </c>
      <c r="DB207">
        <v>0</v>
      </c>
      <c r="DC207">
        <v>0</v>
      </c>
      <c r="DD207">
        <v>0</v>
      </c>
      <c r="DE207">
        <v>401475</v>
      </c>
      <c r="DF207">
        <v>0</v>
      </c>
      <c r="DG207">
        <v>0</v>
      </c>
      <c r="DH207" s="14">
        <v>5836525</v>
      </c>
      <c r="DI207" s="15" t="s">
        <v>695</v>
      </c>
      <c r="DJ207" s="11" t="str">
        <f t="shared" si="7"/>
        <v>JOSEPH PEREZ</v>
      </c>
      <c r="DK207" s="16" t="s">
        <v>604</v>
      </c>
      <c r="DL207" s="17" t="s">
        <v>861</v>
      </c>
      <c r="DM207" s="16">
        <v>6211111</v>
      </c>
    </row>
    <row r="208" spans="1:117" x14ac:dyDescent="0.25">
      <c r="A208" s="11" t="str">
        <f t="shared" si="6"/>
        <v>MARK NGUYEN - UNIT WILAYAH UTARA</v>
      </c>
      <c r="B208" s="12">
        <v>11115111</v>
      </c>
      <c r="C208" s="12" t="s">
        <v>449</v>
      </c>
      <c r="D208" s="13" t="s">
        <v>296</v>
      </c>
      <c r="E208" t="s">
        <v>116</v>
      </c>
      <c r="F208" t="s">
        <v>351</v>
      </c>
      <c r="G208" t="s">
        <v>352</v>
      </c>
      <c r="H208" t="s">
        <v>355</v>
      </c>
      <c r="I208" t="s">
        <v>399</v>
      </c>
      <c r="J208" t="s">
        <v>406</v>
      </c>
      <c r="K208" t="s">
        <v>119</v>
      </c>
      <c r="L208" t="s">
        <v>120</v>
      </c>
      <c r="M208">
        <v>0</v>
      </c>
      <c r="N208">
        <v>0</v>
      </c>
      <c r="O208">
        <v>0</v>
      </c>
      <c r="P208">
        <v>0</v>
      </c>
      <c r="Q208">
        <v>4961753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20000</v>
      </c>
      <c r="BN208">
        <v>1000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99235</v>
      </c>
      <c r="CN208">
        <v>49618</v>
      </c>
      <c r="CO208">
        <v>49618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14885</v>
      </c>
      <c r="CW208">
        <v>44160</v>
      </c>
      <c r="CX208">
        <v>183585</v>
      </c>
      <c r="CY208">
        <v>99235</v>
      </c>
      <c r="CZ208">
        <v>198470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 s="14">
        <v>4742282</v>
      </c>
      <c r="DI208" s="11" t="s">
        <v>730</v>
      </c>
      <c r="DJ208" s="11" t="str">
        <f t="shared" si="7"/>
        <v>MARK NGUYEN</v>
      </c>
      <c r="DK208" s="16" t="s">
        <v>604</v>
      </c>
      <c r="DL208" s="16" t="s">
        <v>839</v>
      </c>
      <c r="DM208" s="16">
        <v>6211111</v>
      </c>
    </row>
    <row r="209" spans="1:117" x14ac:dyDescent="0.25">
      <c r="A209" s="11" t="str">
        <f t="shared" si="6"/>
        <v>MATTHEW MITCHELL - UNIT WILAYAH UTARA</v>
      </c>
      <c r="B209" s="12">
        <v>11101606</v>
      </c>
      <c r="C209" s="12" t="s">
        <v>580</v>
      </c>
      <c r="D209" s="13" t="s">
        <v>262</v>
      </c>
      <c r="E209" t="s">
        <v>116</v>
      </c>
      <c r="F209" t="s">
        <v>351</v>
      </c>
      <c r="G209" t="s">
        <v>352</v>
      </c>
      <c r="H209" t="s">
        <v>355</v>
      </c>
      <c r="I209" t="s">
        <v>399</v>
      </c>
      <c r="J209" t="s">
        <v>406</v>
      </c>
      <c r="K209" t="s">
        <v>117</v>
      </c>
      <c r="L209" t="s">
        <v>118</v>
      </c>
      <c r="M209">
        <v>1548250</v>
      </c>
      <c r="N209">
        <v>4614000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650000</v>
      </c>
      <c r="U209">
        <v>1608000</v>
      </c>
      <c r="V209">
        <v>175000</v>
      </c>
      <c r="W209">
        <v>0</v>
      </c>
      <c r="X209">
        <v>150000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157303</v>
      </c>
      <c r="BJ209">
        <v>10000</v>
      </c>
      <c r="BK209">
        <v>0</v>
      </c>
      <c r="BL209">
        <v>100000</v>
      </c>
      <c r="BM209">
        <v>20000</v>
      </c>
      <c r="BN209">
        <v>1000</v>
      </c>
      <c r="BO209">
        <v>0</v>
      </c>
      <c r="BP209">
        <v>0</v>
      </c>
      <c r="BQ209">
        <v>101500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157303</v>
      </c>
      <c r="CM209">
        <v>144860</v>
      </c>
      <c r="CN209">
        <v>72430</v>
      </c>
      <c r="CO209">
        <v>72430</v>
      </c>
      <c r="CP209">
        <v>0</v>
      </c>
      <c r="CQ209">
        <v>23720</v>
      </c>
      <c r="CR209">
        <v>0</v>
      </c>
      <c r="CS209">
        <v>77090</v>
      </c>
      <c r="CT209">
        <v>0</v>
      </c>
      <c r="CU209">
        <v>0</v>
      </c>
      <c r="CV209">
        <v>21729</v>
      </c>
      <c r="CW209">
        <v>64463</v>
      </c>
      <c r="CX209">
        <v>267991</v>
      </c>
      <c r="CY209">
        <v>144860</v>
      </c>
      <c r="CZ209">
        <v>289720</v>
      </c>
      <c r="DA209">
        <v>0</v>
      </c>
      <c r="DB209">
        <v>47440</v>
      </c>
      <c r="DC209">
        <v>80648</v>
      </c>
      <c r="DD209">
        <v>0</v>
      </c>
      <c r="DE209">
        <v>0</v>
      </c>
      <c r="DF209">
        <v>0</v>
      </c>
      <c r="DG209">
        <v>0</v>
      </c>
      <c r="DH209" s="14">
        <v>8122220</v>
      </c>
      <c r="DI209" s="15" t="s">
        <v>800</v>
      </c>
      <c r="DJ209" s="11" t="str">
        <f t="shared" si="7"/>
        <v>MATTHEW MITCHELL</v>
      </c>
      <c r="DK209" s="16" t="s">
        <v>604</v>
      </c>
      <c r="DL209" s="17" t="s">
        <v>849</v>
      </c>
      <c r="DM209" s="16">
        <v>6211111</v>
      </c>
    </row>
    <row r="210" spans="1:117" x14ac:dyDescent="0.25">
      <c r="A210" s="11" t="str">
        <f t="shared" si="6"/>
        <v>STEVEN MARTIN - UNIT WILAYAH UTARA</v>
      </c>
      <c r="B210" s="12">
        <v>11115115</v>
      </c>
      <c r="C210" s="12" t="s">
        <v>450</v>
      </c>
      <c r="D210" s="13" t="s">
        <v>312</v>
      </c>
      <c r="E210" t="s">
        <v>116</v>
      </c>
      <c r="F210" t="s">
        <v>351</v>
      </c>
      <c r="G210" t="s">
        <v>352</v>
      </c>
      <c r="H210" t="s">
        <v>355</v>
      </c>
      <c r="I210" t="s">
        <v>399</v>
      </c>
      <c r="J210" t="s">
        <v>406</v>
      </c>
      <c r="K210" t="s">
        <v>119</v>
      </c>
      <c r="L210" t="s">
        <v>120</v>
      </c>
      <c r="M210">
        <v>0</v>
      </c>
      <c r="N210">
        <v>0</v>
      </c>
      <c r="O210">
        <v>0</v>
      </c>
      <c r="P210">
        <v>0</v>
      </c>
      <c r="Q210">
        <v>6000000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45879</v>
      </c>
      <c r="BJ210">
        <v>0</v>
      </c>
      <c r="BK210">
        <v>0</v>
      </c>
      <c r="BL210">
        <v>0</v>
      </c>
      <c r="BM210">
        <v>20000</v>
      </c>
      <c r="BN210">
        <v>1000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45879</v>
      </c>
      <c r="CM210">
        <v>120000</v>
      </c>
      <c r="CN210">
        <v>60000</v>
      </c>
      <c r="CO210">
        <v>60000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18000</v>
      </c>
      <c r="CW210">
        <v>53400</v>
      </c>
      <c r="CX210">
        <v>222000</v>
      </c>
      <c r="CY210">
        <v>120000</v>
      </c>
      <c r="CZ210">
        <v>240000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 s="14">
        <v>5739000</v>
      </c>
      <c r="DI210" s="11" t="s">
        <v>724</v>
      </c>
      <c r="DJ210" s="11" t="str">
        <f t="shared" si="7"/>
        <v>STEVEN MARTIN</v>
      </c>
      <c r="DK210" s="16" t="s">
        <v>604</v>
      </c>
      <c r="DL210" s="16" t="s">
        <v>848</v>
      </c>
      <c r="DM210" s="16">
        <v>6211111</v>
      </c>
    </row>
    <row r="211" spans="1:117" x14ac:dyDescent="0.25">
      <c r="A211" s="11" t="str">
        <f t="shared" si="6"/>
        <v>EMILY NELSON - UNIT WILAYAH UTARA</v>
      </c>
      <c r="B211" s="12">
        <v>11117154</v>
      </c>
      <c r="C211" s="12" t="s">
        <v>121</v>
      </c>
      <c r="D211" s="13" t="s">
        <v>274</v>
      </c>
      <c r="E211" t="s">
        <v>116</v>
      </c>
      <c r="F211" t="s">
        <v>351</v>
      </c>
      <c r="G211" t="s">
        <v>352</v>
      </c>
      <c r="H211" t="s">
        <v>355</v>
      </c>
      <c r="I211" t="s">
        <v>365</v>
      </c>
      <c r="J211" t="s">
        <v>407</v>
      </c>
      <c r="K211" t="s">
        <v>119</v>
      </c>
      <c r="L211" t="s">
        <v>120</v>
      </c>
      <c r="M211">
        <v>0</v>
      </c>
      <c r="N211">
        <v>0</v>
      </c>
      <c r="O211">
        <v>0</v>
      </c>
      <c r="P211">
        <v>0</v>
      </c>
      <c r="Q211">
        <v>6273506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64122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64122</v>
      </c>
      <c r="CM211">
        <v>125470</v>
      </c>
      <c r="CN211">
        <v>62735</v>
      </c>
      <c r="CO211">
        <v>62735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18821</v>
      </c>
      <c r="CW211">
        <v>55834</v>
      </c>
      <c r="CX211">
        <v>232120</v>
      </c>
      <c r="CY211">
        <v>125470</v>
      </c>
      <c r="CZ211">
        <v>250940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 s="14">
        <v>6022566</v>
      </c>
      <c r="DI211" s="11" t="s">
        <v>651</v>
      </c>
      <c r="DJ211" s="11" t="str">
        <f t="shared" si="7"/>
        <v>EMILY NELSON</v>
      </c>
      <c r="DK211" s="16" t="s">
        <v>604</v>
      </c>
      <c r="DL211" s="16" t="s">
        <v>831</v>
      </c>
      <c r="DM211" s="16">
        <v>6211111</v>
      </c>
    </row>
    <row r="212" spans="1:117" x14ac:dyDescent="0.25">
      <c r="A212" s="11" t="str">
        <f t="shared" si="6"/>
        <v>JESSICA CLARK - UNIT WILAYAH UTARA</v>
      </c>
      <c r="B212" s="12">
        <v>11115543</v>
      </c>
      <c r="C212" s="12" t="s">
        <v>451</v>
      </c>
      <c r="D212" s="13" t="s">
        <v>320</v>
      </c>
      <c r="E212" t="s">
        <v>116</v>
      </c>
      <c r="F212" t="s">
        <v>351</v>
      </c>
      <c r="G212" t="s">
        <v>352</v>
      </c>
      <c r="H212" t="s">
        <v>355</v>
      </c>
      <c r="I212" t="s">
        <v>365</v>
      </c>
      <c r="J212" t="s">
        <v>407</v>
      </c>
      <c r="K212" t="s">
        <v>117</v>
      </c>
      <c r="L212" t="s">
        <v>118</v>
      </c>
      <c r="M212">
        <v>605000</v>
      </c>
      <c r="N212">
        <v>1808000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650000</v>
      </c>
      <c r="U212">
        <v>1613000</v>
      </c>
      <c r="V212">
        <v>175000</v>
      </c>
      <c r="W212">
        <v>0</v>
      </c>
      <c r="X212">
        <v>150000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47493</v>
      </c>
      <c r="BK212">
        <v>0</v>
      </c>
      <c r="BL212">
        <v>0</v>
      </c>
      <c r="BM212">
        <v>20000</v>
      </c>
      <c r="BN212">
        <v>1000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97020</v>
      </c>
      <c r="CN212">
        <v>48510</v>
      </c>
      <c r="CO212">
        <v>48510</v>
      </c>
      <c r="CP212">
        <v>0</v>
      </c>
      <c r="CQ212">
        <v>0</v>
      </c>
      <c r="CR212">
        <v>0</v>
      </c>
      <c r="CS212">
        <v>0</v>
      </c>
      <c r="CT212">
        <v>169785</v>
      </c>
      <c r="CU212">
        <v>0</v>
      </c>
      <c r="CV212">
        <v>14553</v>
      </c>
      <c r="CW212">
        <v>43174</v>
      </c>
      <c r="CX212">
        <v>179487</v>
      </c>
      <c r="CY212">
        <v>97020</v>
      </c>
      <c r="CZ212">
        <v>194040</v>
      </c>
      <c r="DA212">
        <v>0</v>
      </c>
      <c r="DB212">
        <v>0</v>
      </c>
      <c r="DC212">
        <v>0</v>
      </c>
      <c r="DD212">
        <v>0</v>
      </c>
      <c r="DE212">
        <v>363825</v>
      </c>
      <c r="DF212">
        <v>0</v>
      </c>
      <c r="DG212">
        <v>0</v>
      </c>
      <c r="DH212" s="14">
        <v>4568682</v>
      </c>
      <c r="DI212" s="11" t="s">
        <v>767</v>
      </c>
      <c r="DJ212" s="11" t="str">
        <f t="shared" si="7"/>
        <v>JESSICA CLARK</v>
      </c>
      <c r="DK212" s="16" t="s">
        <v>604</v>
      </c>
      <c r="DL212" s="16" t="s">
        <v>826</v>
      </c>
      <c r="DM212" s="16">
        <v>6211111</v>
      </c>
    </row>
    <row r="213" spans="1:117" x14ac:dyDescent="0.25">
      <c r="A213" s="11" t="str">
        <f t="shared" si="6"/>
        <v>NANCY SANCHEZ - UNIT WILAYAH UTARA</v>
      </c>
      <c r="B213" s="12">
        <v>11113891</v>
      </c>
      <c r="C213" s="12" t="s">
        <v>535</v>
      </c>
      <c r="D213" s="13" t="s">
        <v>150</v>
      </c>
      <c r="E213" t="s">
        <v>116</v>
      </c>
      <c r="F213" t="s">
        <v>351</v>
      </c>
      <c r="G213" t="s">
        <v>352</v>
      </c>
      <c r="H213" t="s">
        <v>355</v>
      </c>
      <c r="I213" t="s">
        <v>365</v>
      </c>
      <c r="J213" t="s">
        <v>407</v>
      </c>
      <c r="K213" t="s">
        <v>119</v>
      </c>
      <c r="L213" t="s">
        <v>120</v>
      </c>
      <c r="M213">
        <v>0</v>
      </c>
      <c r="N213">
        <v>0</v>
      </c>
      <c r="O213">
        <v>0</v>
      </c>
      <c r="P213">
        <v>0</v>
      </c>
      <c r="Q213">
        <v>6000000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45879</v>
      </c>
      <c r="BJ213">
        <v>292622</v>
      </c>
      <c r="BK213">
        <v>0</v>
      </c>
      <c r="BL213">
        <v>0</v>
      </c>
      <c r="BM213">
        <v>20000</v>
      </c>
      <c r="BN213">
        <v>1000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45879</v>
      </c>
      <c r="CM213">
        <v>120000</v>
      </c>
      <c r="CN213">
        <v>60000</v>
      </c>
      <c r="CO213">
        <v>60000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18000</v>
      </c>
      <c r="CW213">
        <v>53400</v>
      </c>
      <c r="CX213">
        <v>222000</v>
      </c>
      <c r="CY213">
        <v>120000</v>
      </c>
      <c r="CZ213">
        <v>240000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 s="14">
        <v>5446378</v>
      </c>
      <c r="DI213" s="11" t="s">
        <v>758</v>
      </c>
      <c r="DJ213" s="11" t="str">
        <f t="shared" si="7"/>
        <v>NANCY SANCHEZ</v>
      </c>
      <c r="DK213" s="16" t="s">
        <v>604</v>
      </c>
      <c r="DL213" s="16" t="s">
        <v>842</v>
      </c>
      <c r="DM213" s="16">
        <v>6211111</v>
      </c>
    </row>
    <row r="214" spans="1:117" x14ac:dyDescent="0.25">
      <c r="A214" s="11" t="str">
        <f t="shared" si="6"/>
        <v>ANTHONY HILL - UNIT WILAYAH UTARA</v>
      </c>
      <c r="B214" s="12">
        <v>11115542</v>
      </c>
      <c r="C214" s="12" t="s">
        <v>452</v>
      </c>
      <c r="D214" s="13" t="s">
        <v>297</v>
      </c>
      <c r="E214" t="s">
        <v>116</v>
      </c>
      <c r="F214" t="s">
        <v>351</v>
      </c>
      <c r="G214" t="s">
        <v>352</v>
      </c>
      <c r="H214" t="s">
        <v>355</v>
      </c>
      <c r="I214" t="s">
        <v>380</v>
      </c>
      <c r="J214" t="s">
        <v>408</v>
      </c>
      <c r="K214" t="s">
        <v>119</v>
      </c>
      <c r="L214" t="s">
        <v>120</v>
      </c>
      <c r="M214">
        <v>0</v>
      </c>
      <c r="N214">
        <v>0</v>
      </c>
      <c r="O214">
        <v>0</v>
      </c>
      <c r="P214">
        <v>0</v>
      </c>
      <c r="Q214">
        <v>4961753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315200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20000</v>
      </c>
      <c r="BN214">
        <v>1000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99235</v>
      </c>
      <c r="CN214">
        <v>49618</v>
      </c>
      <c r="CO214">
        <v>49618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14885</v>
      </c>
      <c r="CW214">
        <v>44160</v>
      </c>
      <c r="CX214">
        <v>183585</v>
      </c>
      <c r="CY214">
        <v>99235</v>
      </c>
      <c r="CZ214">
        <v>198470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 s="14">
        <v>5057482</v>
      </c>
      <c r="DI214" s="11" t="s">
        <v>749</v>
      </c>
      <c r="DJ214" s="11" t="str">
        <f t="shared" si="7"/>
        <v>ANTHONY HILL</v>
      </c>
      <c r="DK214" s="16" t="s">
        <v>604</v>
      </c>
      <c r="DL214" s="16" t="s">
        <v>846</v>
      </c>
      <c r="DM214" s="16">
        <v>6211111</v>
      </c>
    </row>
    <row r="215" spans="1:117" x14ac:dyDescent="0.25">
      <c r="A215" s="11" t="str">
        <f t="shared" si="6"/>
        <v>DANIEL WHITE - UNIT WILAYAH UTARA</v>
      </c>
      <c r="B215" s="12">
        <v>11116733</v>
      </c>
      <c r="C215" s="12" t="s">
        <v>121</v>
      </c>
      <c r="D215" s="13" t="s">
        <v>258</v>
      </c>
      <c r="E215" t="s">
        <v>116</v>
      </c>
      <c r="F215" t="s">
        <v>351</v>
      </c>
      <c r="G215" t="s">
        <v>352</v>
      </c>
      <c r="H215" t="s">
        <v>355</v>
      </c>
      <c r="I215" t="s">
        <v>380</v>
      </c>
      <c r="J215" t="s">
        <v>408</v>
      </c>
      <c r="K215" t="s">
        <v>119</v>
      </c>
      <c r="L215" t="s">
        <v>120</v>
      </c>
      <c r="M215">
        <v>0</v>
      </c>
      <c r="N215">
        <v>0</v>
      </c>
      <c r="O215">
        <v>0</v>
      </c>
      <c r="P215">
        <v>0</v>
      </c>
      <c r="Q215">
        <v>6000000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565200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45879</v>
      </c>
      <c r="BJ215">
        <v>0</v>
      </c>
      <c r="BK215">
        <v>0</v>
      </c>
      <c r="BL215">
        <v>100000</v>
      </c>
      <c r="BM215">
        <v>20000</v>
      </c>
      <c r="BN215">
        <v>1000</v>
      </c>
      <c r="BO215">
        <v>0</v>
      </c>
      <c r="BP215">
        <v>0</v>
      </c>
      <c r="BQ215">
        <v>101500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66824</v>
      </c>
      <c r="CM215">
        <v>120000</v>
      </c>
      <c r="CN215">
        <v>60000</v>
      </c>
      <c r="CO215">
        <v>60000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18000</v>
      </c>
      <c r="CW215">
        <v>53400</v>
      </c>
      <c r="CX215">
        <v>222000</v>
      </c>
      <c r="CY215">
        <v>120000</v>
      </c>
      <c r="CZ215">
        <v>240000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 s="14">
        <v>6081755</v>
      </c>
      <c r="DI215" s="11" t="s">
        <v>652</v>
      </c>
      <c r="DJ215" s="11" t="str">
        <f t="shared" si="7"/>
        <v>DANIEL WHITE</v>
      </c>
      <c r="DK215" s="16" t="s">
        <v>604</v>
      </c>
      <c r="DL215" s="16" t="s">
        <v>853</v>
      </c>
      <c r="DM215" s="16">
        <v>6211111</v>
      </c>
    </row>
    <row r="216" spans="1:117" x14ac:dyDescent="0.25">
      <c r="A216" s="11" t="str">
        <f t="shared" si="6"/>
        <v>DONNA BROWN - UNIT WILAYAH UTARA</v>
      </c>
      <c r="B216" s="12">
        <v>11100958</v>
      </c>
      <c r="C216" s="12" t="s">
        <v>552</v>
      </c>
      <c r="D216" s="13" t="s">
        <v>174</v>
      </c>
      <c r="E216" t="s">
        <v>116</v>
      </c>
      <c r="F216" t="s">
        <v>351</v>
      </c>
      <c r="G216" t="s">
        <v>352</v>
      </c>
      <c r="H216" t="s">
        <v>355</v>
      </c>
      <c r="I216" t="s">
        <v>380</v>
      </c>
      <c r="J216" t="s">
        <v>408</v>
      </c>
      <c r="K216" t="s">
        <v>117</v>
      </c>
      <c r="L216" t="s">
        <v>118</v>
      </c>
      <c r="M216">
        <v>3313000</v>
      </c>
      <c r="N216">
        <v>6586000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650000</v>
      </c>
      <c r="U216">
        <v>1613000</v>
      </c>
      <c r="V216">
        <v>175000</v>
      </c>
      <c r="W216">
        <v>0</v>
      </c>
      <c r="X216">
        <v>150000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315200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525333</v>
      </c>
      <c r="BJ216">
        <v>0</v>
      </c>
      <c r="BK216">
        <v>0</v>
      </c>
      <c r="BL216">
        <v>100000</v>
      </c>
      <c r="BM216">
        <v>20000</v>
      </c>
      <c r="BN216">
        <v>1000</v>
      </c>
      <c r="BO216">
        <v>0</v>
      </c>
      <c r="BP216">
        <v>0</v>
      </c>
      <c r="BQ216">
        <v>101500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537941</v>
      </c>
      <c r="CM216">
        <v>203360</v>
      </c>
      <c r="CN216">
        <v>101680</v>
      </c>
      <c r="CO216">
        <v>89397</v>
      </c>
      <c r="CP216">
        <v>0</v>
      </c>
      <c r="CQ216">
        <v>51080</v>
      </c>
      <c r="CR216">
        <v>0</v>
      </c>
      <c r="CS216">
        <v>166010</v>
      </c>
      <c r="CT216">
        <v>0</v>
      </c>
      <c r="CU216">
        <v>0</v>
      </c>
      <c r="CV216">
        <v>30504</v>
      </c>
      <c r="CW216">
        <v>90495</v>
      </c>
      <c r="CX216">
        <v>376216</v>
      </c>
      <c r="CY216">
        <v>178794</v>
      </c>
      <c r="CZ216">
        <v>406720</v>
      </c>
      <c r="DA216">
        <v>0</v>
      </c>
      <c r="DB216">
        <v>102160</v>
      </c>
      <c r="DC216">
        <v>173672</v>
      </c>
      <c r="DD216">
        <v>0</v>
      </c>
      <c r="DE216">
        <v>0</v>
      </c>
      <c r="DF216">
        <v>0</v>
      </c>
      <c r="DG216">
        <v>0</v>
      </c>
      <c r="DH216" s="14">
        <v>11955565</v>
      </c>
      <c r="DI216" s="15" t="s">
        <v>772</v>
      </c>
      <c r="DJ216" s="11" t="str">
        <f t="shared" si="7"/>
        <v>DONNA BROWN</v>
      </c>
      <c r="DK216" s="16" t="s">
        <v>604</v>
      </c>
      <c r="DL216" s="17" t="s">
        <v>867</v>
      </c>
      <c r="DM216" s="16">
        <v>6211111</v>
      </c>
    </row>
    <row r="217" spans="1:117" x14ac:dyDescent="0.25">
      <c r="A217" s="11" t="str">
        <f t="shared" si="6"/>
        <v>PATRICIA JONES - UNIT WILAYAH UTARA</v>
      </c>
      <c r="B217" s="12">
        <v>11113621</v>
      </c>
      <c r="C217" s="12" t="s">
        <v>453</v>
      </c>
      <c r="D217" s="13" t="s">
        <v>342</v>
      </c>
      <c r="E217" t="s">
        <v>116</v>
      </c>
      <c r="F217" t="s">
        <v>351</v>
      </c>
      <c r="G217" t="s">
        <v>352</v>
      </c>
      <c r="H217" t="s">
        <v>355</v>
      </c>
      <c r="I217" t="s">
        <v>380</v>
      </c>
      <c r="J217" t="s">
        <v>408</v>
      </c>
      <c r="K217" t="s">
        <v>119</v>
      </c>
      <c r="L217" t="s">
        <v>120</v>
      </c>
      <c r="M217">
        <v>0</v>
      </c>
      <c r="N217">
        <v>0</v>
      </c>
      <c r="O217">
        <v>0</v>
      </c>
      <c r="P217">
        <v>0</v>
      </c>
      <c r="Q217">
        <v>5000000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420200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20000</v>
      </c>
      <c r="BN217">
        <v>1000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13699</v>
      </c>
      <c r="CM217">
        <v>100000</v>
      </c>
      <c r="CN217">
        <v>50000</v>
      </c>
      <c r="CO217">
        <v>50000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15000</v>
      </c>
      <c r="CW217">
        <v>44500</v>
      </c>
      <c r="CX217">
        <v>185000</v>
      </c>
      <c r="CY217">
        <v>100000</v>
      </c>
      <c r="CZ217">
        <v>200000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 s="14">
        <v>5185501</v>
      </c>
      <c r="DI217" s="11" t="s">
        <v>718</v>
      </c>
      <c r="DJ217" s="11" t="str">
        <f t="shared" si="7"/>
        <v>PATRICIA JONES</v>
      </c>
      <c r="DK217" s="16" t="s">
        <v>604</v>
      </c>
      <c r="DL217" s="16" t="s">
        <v>863</v>
      </c>
      <c r="DM217" s="16">
        <v>6211111</v>
      </c>
    </row>
    <row r="218" spans="1:117" x14ac:dyDescent="0.25">
      <c r="A218" s="11" t="str">
        <f t="shared" si="6"/>
        <v>DANIEL MITCHELL - UNIT WILAYAH UTARA</v>
      </c>
      <c r="B218" s="12">
        <v>11113854</v>
      </c>
      <c r="C218" s="12" t="s">
        <v>454</v>
      </c>
      <c r="D218" s="13" t="s">
        <v>276</v>
      </c>
      <c r="E218" t="s">
        <v>116</v>
      </c>
      <c r="F218" t="s">
        <v>351</v>
      </c>
      <c r="G218" t="s">
        <v>352</v>
      </c>
      <c r="H218" t="s">
        <v>355</v>
      </c>
      <c r="I218" t="s">
        <v>377</v>
      </c>
      <c r="J218" t="s">
        <v>409</v>
      </c>
      <c r="K218" t="s">
        <v>119</v>
      </c>
      <c r="L218" t="s">
        <v>120</v>
      </c>
      <c r="M218">
        <v>0</v>
      </c>
      <c r="N218">
        <v>0</v>
      </c>
      <c r="O218">
        <v>0</v>
      </c>
      <c r="P218">
        <v>0</v>
      </c>
      <c r="Q218">
        <v>4961753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94176</v>
      </c>
      <c r="BK218">
        <v>0</v>
      </c>
      <c r="BL218">
        <v>0</v>
      </c>
      <c r="BM218">
        <v>20000</v>
      </c>
      <c r="BN218">
        <v>1000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99235</v>
      </c>
      <c r="CN218">
        <v>49618</v>
      </c>
      <c r="CO218">
        <v>49618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14885</v>
      </c>
      <c r="CW218">
        <v>44160</v>
      </c>
      <c r="CX218">
        <v>183585</v>
      </c>
      <c r="CY218">
        <v>99235</v>
      </c>
      <c r="CZ218">
        <v>198470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 s="14">
        <v>4648106</v>
      </c>
      <c r="DI218" s="11" t="s">
        <v>740</v>
      </c>
      <c r="DJ218" s="11" t="str">
        <f t="shared" si="7"/>
        <v>DANIEL MITCHELL</v>
      </c>
      <c r="DK218" s="16" t="s">
        <v>604</v>
      </c>
      <c r="DL218" s="16" t="s">
        <v>853</v>
      </c>
      <c r="DM218" s="16">
        <v>6211111</v>
      </c>
    </row>
    <row r="219" spans="1:117" x14ac:dyDescent="0.25">
      <c r="A219" s="11" t="str">
        <f t="shared" si="6"/>
        <v>GEORGE CLARK - UNIT WILAYAH UTARA</v>
      </c>
      <c r="B219" s="12">
        <v>11111393</v>
      </c>
      <c r="C219" s="12" t="s">
        <v>536</v>
      </c>
      <c r="D219" s="13" t="s">
        <v>168</v>
      </c>
      <c r="E219" t="s">
        <v>116</v>
      </c>
      <c r="F219" t="s">
        <v>351</v>
      </c>
      <c r="G219" t="s">
        <v>352</v>
      </c>
      <c r="H219" t="s">
        <v>355</v>
      </c>
      <c r="I219" t="s">
        <v>377</v>
      </c>
      <c r="J219" t="s">
        <v>409</v>
      </c>
      <c r="K219" t="s">
        <v>117</v>
      </c>
      <c r="L219" t="s">
        <v>118</v>
      </c>
      <c r="M219">
        <v>1339250</v>
      </c>
      <c r="N219">
        <v>4454450</v>
      </c>
      <c r="O219">
        <v>0</v>
      </c>
      <c r="P219">
        <v>0</v>
      </c>
      <c r="Q219">
        <v>0</v>
      </c>
      <c r="R219">
        <v>0</v>
      </c>
      <c r="S219">
        <v>1800000</v>
      </c>
      <c r="T219">
        <v>0</v>
      </c>
      <c r="U219">
        <v>1131000</v>
      </c>
      <c r="V219">
        <v>225000</v>
      </c>
      <c r="W219">
        <v>0</v>
      </c>
      <c r="X219">
        <v>600000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5566303</v>
      </c>
      <c r="BJ219">
        <v>10000</v>
      </c>
      <c r="BK219">
        <v>0</v>
      </c>
      <c r="BL219">
        <v>0</v>
      </c>
      <c r="BM219">
        <v>20000</v>
      </c>
      <c r="BN219">
        <v>1000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5566303</v>
      </c>
      <c r="CM219">
        <v>154100</v>
      </c>
      <c r="CN219">
        <v>77050</v>
      </c>
      <c r="CO219">
        <v>77050</v>
      </c>
      <c r="CP219">
        <v>0</v>
      </c>
      <c r="CQ219">
        <v>0</v>
      </c>
      <c r="CR219">
        <v>0</v>
      </c>
      <c r="CS219">
        <v>0</v>
      </c>
      <c r="CT219">
        <v>269675</v>
      </c>
      <c r="CU219">
        <v>0</v>
      </c>
      <c r="CV219">
        <v>23115</v>
      </c>
      <c r="CW219">
        <v>68575</v>
      </c>
      <c r="CX219">
        <v>285085</v>
      </c>
      <c r="CY219">
        <v>154100</v>
      </c>
      <c r="CZ219">
        <v>308200</v>
      </c>
      <c r="DA219">
        <v>0</v>
      </c>
      <c r="DB219">
        <v>0</v>
      </c>
      <c r="DC219">
        <v>0</v>
      </c>
      <c r="DD219">
        <v>0</v>
      </c>
      <c r="DE219">
        <v>577875</v>
      </c>
      <c r="DF219">
        <v>0</v>
      </c>
      <c r="DG219">
        <v>0</v>
      </c>
      <c r="DH219" s="14">
        <v>8940825</v>
      </c>
      <c r="DI219" s="15" t="s">
        <v>696</v>
      </c>
      <c r="DJ219" s="11" t="str">
        <f t="shared" si="7"/>
        <v>GEORGE CLARK</v>
      </c>
      <c r="DK219" s="16" t="s">
        <v>604</v>
      </c>
      <c r="DL219" s="17" t="s">
        <v>851</v>
      </c>
      <c r="DM219" s="16">
        <v>6211111</v>
      </c>
    </row>
    <row r="220" spans="1:117" x14ac:dyDescent="0.25">
      <c r="A220" s="11" t="str">
        <f t="shared" si="6"/>
        <v>JAMES GREEN - UNIT WILAYAH UTARA</v>
      </c>
      <c r="B220" s="12">
        <v>11116707</v>
      </c>
      <c r="C220" s="12" t="s">
        <v>121</v>
      </c>
      <c r="D220" s="13" t="s">
        <v>255</v>
      </c>
      <c r="E220" t="s">
        <v>116</v>
      </c>
      <c r="F220" t="s">
        <v>351</v>
      </c>
      <c r="G220" t="s">
        <v>352</v>
      </c>
      <c r="H220" t="s">
        <v>355</v>
      </c>
      <c r="I220" t="s">
        <v>377</v>
      </c>
      <c r="J220" t="s">
        <v>409</v>
      </c>
      <c r="K220" t="s">
        <v>119</v>
      </c>
      <c r="L220" t="s">
        <v>120</v>
      </c>
      <c r="M220">
        <v>0</v>
      </c>
      <c r="N220">
        <v>0</v>
      </c>
      <c r="O220">
        <v>0</v>
      </c>
      <c r="P220">
        <v>0</v>
      </c>
      <c r="Q220">
        <v>4961753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20000</v>
      </c>
      <c r="BN220">
        <v>1000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99235</v>
      </c>
      <c r="CN220">
        <v>49618</v>
      </c>
      <c r="CO220">
        <v>49618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14885</v>
      </c>
      <c r="CW220">
        <v>44160</v>
      </c>
      <c r="CX220">
        <v>183585</v>
      </c>
      <c r="CY220">
        <v>99235</v>
      </c>
      <c r="CZ220">
        <v>198470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 s="14">
        <v>4742282</v>
      </c>
      <c r="DI220" s="11" t="s">
        <v>653</v>
      </c>
      <c r="DJ220" s="11" t="str">
        <f t="shared" si="7"/>
        <v>JAMES GREEN</v>
      </c>
      <c r="DK220" s="16" t="s">
        <v>604</v>
      </c>
      <c r="DL220" s="16" t="s">
        <v>837</v>
      </c>
      <c r="DM220" s="16">
        <v>6211111</v>
      </c>
    </row>
  </sheetData>
  <autoFilter ref="A5:DM220" xr:uid="{B2CCC1BC-E05C-4B6B-851D-B5035FF0A4D5}">
    <sortState xmlns:xlrd2="http://schemas.microsoft.com/office/spreadsheetml/2017/richdata2" ref="A6:DM220">
      <sortCondition ref="J5:J220"/>
    </sortState>
  </autoFilter>
  <conditionalFormatting sqref="DI5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1631-DF7C-42B1-926B-8B17EA5B761F}">
  <sheetPr codeName="Sheet3">
    <pageSetUpPr fitToPage="1"/>
  </sheetPr>
  <dimension ref="A1:L63"/>
  <sheetViews>
    <sheetView tabSelected="1" view="pageBreakPreview" zoomScale="70" zoomScaleNormal="70" zoomScaleSheetLayoutView="70" workbookViewId="0">
      <selection activeCell="L1" sqref="L1"/>
    </sheetView>
  </sheetViews>
  <sheetFormatPr defaultColWidth="8.7109375" defaultRowHeight="12.75" x14ac:dyDescent="0.25"/>
  <cols>
    <col min="1" max="1" width="17.85546875" style="18" customWidth="1"/>
    <col min="2" max="2" width="16.28515625" style="18" customWidth="1"/>
    <col min="3" max="3" width="3.42578125" style="18" customWidth="1"/>
    <col min="4" max="4" width="21.28515625" style="18" customWidth="1"/>
    <col min="5" max="5" width="3.5703125" style="18" customWidth="1"/>
    <col min="6" max="6" width="13.42578125" style="18" customWidth="1"/>
    <col min="7" max="7" width="17.85546875" style="18" customWidth="1"/>
    <col min="8" max="8" width="19.42578125" style="18" customWidth="1"/>
    <col min="9" max="9" width="3.85546875" style="18" customWidth="1"/>
    <col min="10" max="10" width="16" style="18" customWidth="1"/>
    <col min="11" max="11" width="17.28515625" style="18" bestFit="1" customWidth="1"/>
    <col min="12" max="12" width="55.85546875" style="18" customWidth="1"/>
    <col min="13" max="13" width="8.7109375" style="18"/>
    <col min="14" max="14" width="33.5703125" style="18" customWidth="1"/>
    <col min="15" max="16384" width="8.7109375" style="18"/>
  </cols>
  <sheetData>
    <row r="1" spans="1:12" ht="21.6" customHeight="1" x14ac:dyDescent="0.25">
      <c r="K1" s="19" t="s">
        <v>126</v>
      </c>
      <c r="L1" s="20" t="s">
        <v>869</v>
      </c>
    </row>
    <row r="2" spans="1:12" ht="15" x14ac:dyDescent="0.25">
      <c r="K2" s="21" t="s">
        <v>127</v>
      </c>
      <c r="L2" s="22">
        <f>BULAN!B1</f>
        <v>216</v>
      </c>
    </row>
    <row r="3" spans="1:12" ht="15" x14ac:dyDescent="0.25">
      <c r="K3" s="21" t="s">
        <v>128</v>
      </c>
      <c r="L3" s="22" t="str">
        <f>VLOOKUP($L$1,BULAN!$A$5:$DM$7000,116,0)</f>
        <v>jame@gmail.com</v>
      </c>
    </row>
    <row r="4" spans="1:12" ht="3.6" customHeight="1" x14ac:dyDescent="0.25">
      <c r="K4" s="21"/>
      <c r="L4" s="22"/>
    </row>
    <row r="5" spans="1:12" ht="20.25" x14ac:dyDescent="0.25">
      <c r="A5" s="53" t="s">
        <v>129</v>
      </c>
      <c r="B5" s="23"/>
      <c r="C5" s="23"/>
      <c r="D5" s="24"/>
      <c r="E5" s="24"/>
      <c r="F5" s="24"/>
      <c r="G5" s="24"/>
      <c r="H5" s="24"/>
      <c r="I5" s="24"/>
      <c r="J5" s="24"/>
      <c r="K5" s="21" t="s">
        <v>130</v>
      </c>
      <c r="L5" s="22">
        <f>VLOOKUP($L$1,BULAN!$A$5:$DK$7000,2,0)</f>
        <v>11116707</v>
      </c>
    </row>
    <row r="6" spans="1:12" ht="15" x14ac:dyDescent="0.25">
      <c r="A6" s="25" t="s">
        <v>601</v>
      </c>
      <c r="B6" s="25"/>
      <c r="C6" s="25"/>
      <c r="D6" s="24"/>
      <c r="E6" s="24"/>
      <c r="F6" s="24"/>
      <c r="G6" s="24"/>
      <c r="H6" s="24"/>
      <c r="I6" s="24"/>
      <c r="J6" s="24"/>
      <c r="K6" s="21" t="s">
        <v>131</v>
      </c>
      <c r="L6" s="22" t="str">
        <f>VLOOKUP($L$1,BULAN!$A$5:$DM$7000,113,0)</f>
        <v>7346941</v>
      </c>
    </row>
    <row r="7" spans="1:12" x14ac:dyDescent="0.25">
      <c r="A7" s="26" t="s">
        <v>602</v>
      </c>
      <c r="B7" s="26"/>
      <c r="C7" s="26"/>
      <c r="D7" s="24"/>
      <c r="E7" s="24"/>
      <c r="F7" s="24"/>
      <c r="G7" s="24"/>
      <c r="H7" s="24"/>
      <c r="I7" s="24"/>
      <c r="J7" s="24"/>
    </row>
    <row r="8" spans="1:12" x14ac:dyDescent="0.25">
      <c r="A8" s="26" t="s">
        <v>603</v>
      </c>
      <c r="B8" s="26"/>
      <c r="C8" s="26"/>
      <c r="D8" s="24"/>
      <c r="E8" s="24"/>
      <c r="F8" s="24"/>
      <c r="G8" s="24"/>
      <c r="H8" s="24"/>
      <c r="I8" s="24"/>
      <c r="J8" s="24"/>
    </row>
    <row r="9" spans="1:12" ht="8.4499999999999993" customHeight="1" x14ac:dyDescent="0.25">
      <c r="A9" s="26"/>
      <c r="B9" s="26"/>
      <c r="C9" s="26"/>
      <c r="D9" s="24"/>
      <c r="E9" s="24"/>
      <c r="F9" s="24"/>
      <c r="G9" s="24"/>
      <c r="H9" s="24"/>
      <c r="I9" s="24"/>
      <c r="J9" s="24"/>
    </row>
    <row r="10" spans="1:12" ht="15.75" x14ac:dyDescent="0.25">
      <c r="J10" s="27" t="str">
        <f>VLOOKUP($L$1,BULAN!$A$5:$BS$5983,4,0)</f>
        <v>JAMES GREEN</v>
      </c>
    </row>
    <row r="11" spans="1:12" x14ac:dyDescent="0.25">
      <c r="J11" s="28" t="str">
        <f>"ID SAP PEGAWAI :"&amp;" "&amp;VLOOKUP($L$1,BULAN!$A$5:$BU$7000,2,0)</f>
        <v>ID SAP PEGAWAI : 11116707</v>
      </c>
    </row>
    <row r="12" spans="1:12" hidden="1" x14ac:dyDescent="0.25">
      <c r="J12" s="28" t="s">
        <v>132</v>
      </c>
    </row>
    <row r="13" spans="1:12" x14ac:dyDescent="0.25">
      <c r="J13" s="28" t="str">
        <f>"Email:"&amp;" "&amp;VLOOKUP($L$1,BULAN!$A$5:$DL$7000,116,0)</f>
        <v>Email: jame@gmail.com</v>
      </c>
    </row>
    <row r="14" spans="1:12" ht="13.5" thickBot="1" x14ac:dyDescent="0.3"/>
    <row r="15" spans="1:12" ht="27" customHeight="1" x14ac:dyDescent="0.25">
      <c r="A15" s="56" t="s">
        <v>133</v>
      </c>
      <c r="B15" s="61" t="s">
        <v>134</v>
      </c>
      <c r="C15" s="62"/>
      <c r="D15" s="57" t="s">
        <v>135</v>
      </c>
      <c r="E15" s="29"/>
    </row>
    <row r="16" spans="1:12" ht="13.5" thickBot="1" x14ac:dyDescent="0.3">
      <c r="A16" s="30" t="str">
        <f>BULAN!$B$2</f>
        <v>JANUARI 2025</v>
      </c>
      <c r="B16" s="63">
        <f ca="1">TODAY()</f>
        <v>45881</v>
      </c>
      <c r="C16" s="64"/>
      <c r="D16" s="31" t="str">
        <f ca="1">TEXT(B16,0)&amp;L5</f>
        <v>4588111116707</v>
      </c>
    </row>
    <row r="18" spans="1:10" x14ac:dyDescent="0.25">
      <c r="A18" s="32" t="s">
        <v>136</v>
      </c>
      <c r="B18" s="32"/>
      <c r="C18" s="32"/>
      <c r="G18" s="32" t="s">
        <v>137</v>
      </c>
      <c r="H18" s="32"/>
      <c r="I18" s="32"/>
    </row>
    <row r="19" spans="1:10" x14ac:dyDescent="0.25">
      <c r="A19" s="54" t="s">
        <v>138</v>
      </c>
      <c r="B19" s="54"/>
      <c r="C19" s="54"/>
      <c r="D19" s="55" t="s">
        <v>139</v>
      </c>
      <c r="E19" s="33"/>
      <c r="G19" s="54" t="s">
        <v>138</v>
      </c>
      <c r="H19" s="54"/>
      <c r="I19" s="54"/>
      <c r="J19" s="55" t="s">
        <v>139</v>
      </c>
    </row>
    <row r="21" spans="1:10" ht="15.75" x14ac:dyDescent="0.25">
      <c r="A21" s="34" t="s">
        <v>11</v>
      </c>
      <c r="B21" s="34"/>
      <c r="C21" s="34" t="s">
        <v>140</v>
      </c>
      <c r="D21" s="35">
        <f>IFERROR(INDEX(BULAN!$A$5:$DK$7000,MATCH($L$1,BULAN!$A$5:$A$11313,0),MATCH(A21,BULAN!$A$5:$DK$5,0)),0)</f>
        <v>0</v>
      </c>
      <c r="E21" s="35"/>
      <c r="G21" s="18" t="s">
        <v>60</v>
      </c>
      <c r="I21" s="34" t="s">
        <v>140</v>
      </c>
      <c r="J21" s="35">
        <f>IFERROR(INDEX(BULAN!$A$5:$DK$7000,MATCH($L$1,BULAN!$A$5:$A$7000,0),MATCH(G21,BULAN!$A$5:$DK$5,0)),0)</f>
        <v>0</v>
      </c>
    </row>
    <row r="22" spans="1:10" ht="15.75" x14ac:dyDescent="0.25">
      <c r="A22" s="34" t="s">
        <v>12</v>
      </c>
      <c r="B22" s="34"/>
      <c r="C22" s="34" t="s">
        <v>140</v>
      </c>
      <c r="D22" s="35">
        <f>IFERROR(INDEX(BULAN!$A$5:$DK$7000,MATCH($L$1,BULAN!$A$5:$A$11313,0),MATCH(A22,BULAN!$A$5:$DK$5,0)),0)</f>
        <v>0</v>
      </c>
      <c r="E22" s="35"/>
      <c r="G22" s="18" t="s">
        <v>62</v>
      </c>
      <c r="I22" s="34" t="s">
        <v>140</v>
      </c>
      <c r="J22" s="35">
        <f>IFERROR(INDEX(BULAN!$A$5:$DK$7000,MATCH($L$1,BULAN!$A$5:$A$7000,0),MATCH(G22,BULAN!$A$5:$DK$5,0)),0)</f>
        <v>0</v>
      </c>
    </row>
    <row r="23" spans="1:10" ht="15.75" x14ac:dyDescent="0.25">
      <c r="A23" s="34" t="s">
        <v>13</v>
      </c>
      <c r="B23" s="34"/>
      <c r="C23" s="34" t="s">
        <v>140</v>
      </c>
      <c r="D23" s="35">
        <f>IFERROR(INDEX(BULAN!$A$5:$DK$7000,MATCH($L$1,BULAN!$A$5:$A$11313,0),MATCH(A23,BULAN!$A$5:$DK$5,0)),0)</f>
        <v>0</v>
      </c>
      <c r="E23" s="35"/>
      <c r="G23" s="18" t="s">
        <v>63</v>
      </c>
      <c r="I23" s="34" t="s">
        <v>140</v>
      </c>
      <c r="J23" s="35">
        <f>IFERROR(INDEX(BULAN!$A$5:$DK$7000,MATCH($L$1,BULAN!$A$5:$A$7000,0),MATCH(G23,BULAN!$A$5:$DK$5,0)),0)</f>
        <v>20000</v>
      </c>
    </row>
    <row r="24" spans="1:10" ht="15.75" x14ac:dyDescent="0.25">
      <c r="A24" s="34" t="s">
        <v>14</v>
      </c>
      <c r="B24" s="34"/>
      <c r="C24" s="34" t="s">
        <v>140</v>
      </c>
      <c r="D24" s="35">
        <f>IFERROR(INDEX(BULAN!$A$5:$DK$7000,MATCH($L$1,BULAN!$A$5:$A$11313,0),MATCH(A24,BULAN!$A$5:$DK$5,0)),0)</f>
        <v>0</v>
      </c>
      <c r="E24" s="35"/>
      <c r="G24" s="18" t="s">
        <v>64</v>
      </c>
      <c r="I24" s="34" t="s">
        <v>140</v>
      </c>
      <c r="J24" s="35">
        <f>IFERROR(INDEX(BULAN!$A$5:$DK$7000,MATCH($L$1,BULAN!$A$5:$A$7000,0),MATCH(G24,BULAN!$A$5:$DK$5,0)),0)</f>
        <v>1000</v>
      </c>
    </row>
    <row r="25" spans="1:10" ht="15.75" x14ac:dyDescent="0.25">
      <c r="A25" s="34" t="s">
        <v>15</v>
      </c>
      <c r="B25" s="34"/>
      <c r="C25" s="34" t="s">
        <v>140</v>
      </c>
      <c r="D25" s="35">
        <f>IFERROR(INDEX(BULAN!$A$5:$DK$7000,MATCH($L$1,BULAN!$A$5:$A$11313,0),MATCH(A25,BULAN!$A$5:$DK$5,0)),0)</f>
        <v>4961753</v>
      </c>
      <c r="E25" s="35"/>
      <c r="G25" s="18" t="s">
        <v>67</v>
      </c>
      <c r="I25" s="34" t="s">
        <v>140</v>
      </c>
      <c r="J25" s="35">
        <f>IFERROR(INDEX(BULAN!$A$5:$DK$7000,MATCH($L$1,BULAN!$A$5:$A$7000,0),MATCH(G25,BULAN!$A$5:$DK$5,0)),0)</f>
        <v>0</v>
      </c>
    </row>
    <row r="26" spans="1:10" ht="15.75" x14ac:dyDescent="0.25">
      <c r="A26" s="34" t="s">
        <v>16</v>
      </c>
      <c r="B26" s="34"/>
      <c r="C26" s="34" t="s">
        <v>140</v>
      </c>
      <c r="D26" s="35">
        <f>IFERROR(INDEX(BULAN!$A$5:$DK$7000,MATCH($L$1,BULAN!$A$5:$A$11313,0),MATCH(A26,BULAN!$A$5:$DK$5,0)),0)</f>
        <v>0</v>
      </c>
      <c r="E26" s="35"/>
      <c r="G26" s="18" t="s">
        <v>71</v>
      </c>
      <c r="I26" s="34" t="s">
        <v>140</v>
      </c>
      <c r="J26" s="35">
        <f>IFERROR(INDEX(BULAN!$A$5:$DK$7000,MATCH($L$1,BULAN!$A$5:$A$7000,0),MATCH(G26,BULAN!$A$5:$DK$5,0)),0)</f>
        <v>0</v>
      </c>
    </row>
    <row r="27" spans="1:10" ht="15.75" x14ac:dyDescent="0.25">
      <c r="A27" s="34" t="s">
        <v>17</v>
      </c>
      <c r="B27" s="34"/>
      <c r="C27" s="34" t="s">
        <v>140</v>
      </c>
      <c r="D27" s="35">
        <f>IFERROR(INDEX(BULAN!$A$5:$DK$7000,MATCH($L$1,BULAN!$A$5:$A$11313,0),MATCH(A27,BULAN!$A$5:$DK$5,0)),0)</f>
        <v>0</v>
      </c>
      <c r="E27" s="35"/>
      <c r="G27" s="18" t="s">
        <v>72</v>
      </c>
      <c r="I27" s="34" t="s">
        <v>140</v>
      </c>
      <c r="J27" s="35">
        <f>IFERROR(INDEX(BULAN!$A$5:$DK$7000,MATCH($L$1,BULAN!$A$5:$A$7000,0),MATCH(G27,BULAN!$A$5:$DK$5,0)),0)</f>
        <v>0</v>
      </c>
    </row>
    <row r="28" spans="1:10" ht="15.75" x14ac:dyDescent="0.25">
      <c r="A28" s="34" t="s">
        <v>18</v>
      </c>
      <c r="B28" s="34"/>
      <c r="C28" s="34" t="s">
        <v>140</v>
      </c>
      <c r="D28" s="35">
        <f>IFERROR(INDEX(BULAN!$A$5:$DK$7000,MATCH($L$1,BULAN!$A$5:$A$11313,0),MATCH(A28,BULAN!$A$5:$DK$5,0)),0)</f>
        <v>0</v>
      </c>
      <c r="E28" s="35"/>
      <c r="G28" s="18" t="s">
        <v>73</v>
      </c>
      <c r="I28" s="34" t="s">
        <v>140</v>
      </c>
      <c r="J28" s="35">
        <f>IFERROR(INDEX(BULAN!$A$5:$DK$7000,MATCH($L$1,BULAN!$A$5:$A$7000,0),MATCH(G28,BULAN!$A$5:$DK$5,0)),0)</f>
        <v>0</v>
      </c>
    </row>
    <row r="29" spans="1:10" ht="15.75" x14ac:dyDescent="0.25">
      <c r="A29" s="34" t="s">
        <v>19</v>
      </c>
      <c r="B29" s="34"/>
      <c r="C29" s="34" t="s">
        <v>140</v>
      </c>
      <c r="D29" s="35">
        <f>IFERROR(INDEX(BULAN!$A$5:$DK$7000,MATCH($L$1,BULAN!$A$5:$A$11313,0),MATCH(A29,BULAN!$A$5:$DK$5,0)),0)</f>
        <v>0</v>
      </c>
      <c r="E29" s="35"/>
      <c r="G29" s="18" t="s">
        <v>74</v>
      </c>
      <c r="I29" s="34" t="s">
        <v>140</v>
      </c>
      <c r="J29" s="35">
        <f>IFERROR(INDEX(BULAN!$A$5:$DK$7000,MATCH($L$1,BULAN!$A$5:$A$7000,0),MATCH(G29,BULAN!$A$5:$DK$5,0)),0)</f>
        <v>0</v>
      </c>
    </row>
    <row r="30" spans="1:10" ht="15.75" x14ac:dyDescent="0.25">
      <c r="A30" s="34" t="s">
        <v>20</v>
      </c>
      <c r="B30" s="34"/>
      <c r="C30" s="34" t="s">
        <v>140</v>
      </c>
      <c r="D30" s="35">
        <f>IFERROR(INDEX(BULAN!$A$5:$DK$7000,MATCH($L$1,BULAN!$A$5:$A$11313,0),MATCH(A30,BULAN!$A$5:$DK$5,0)),0)</f>
        <v>0</v>
      </c>
      <c r="E30" s="35"/>
      <c r="G30" s="18" t="s">
        <v>76</v>
      </c>
      <c r="I30" s="34" t="s">
        <v>140</v>
      </c>
      <c r="J30" s="35">
        <f>IFERROR(INDEX(BULAN!$A$5:$DK$7000,MATCH($L$1,BULAN!$A$5:$A$7000,0),MATCH(G30,BULAN!$A$5:$DK$5,0)),0)</f>
        <v>0</v>
      </c>
    </row>
    <row r="31" spans="1:10" ht="15.75" x14ac:dyDescent="0.25">
      <c r="A31" s="34" t="s">
        <v>21</v>
      </c>
      <c r="B31" s="34"/>
      <c r="C31" s="34" t="s">
        <v>140</v>
      </c>
      <c r="D31" s="35">
        <f>IFERROR(INDEX(BULAN!$A$5:$DK$7000,MATCH($L$1,BULAN!$A$5:$A$11313,0),MATCH(A31,BULAN!$A$5:$DK$5,0)),0)</f>
        <v>0</v>
      </c>
      <c r="E31" s="35"/>
      <c r="G31" s="18" t="s">
        <v>78</v>
      </c>
      <c r="I31" s="34" t="s">
        <v>140</v>
      </c>
      <c r="J31" s="35">
        <f>IFERROR(INDEX(BULAN!$A$5:$DK$7000,MATCH($L$1,BULAN!$A$5:$A$7000,0),MATCH(G31,BULAN!$A$5:$DK$5,0)),0)</f>
        <v>0</v>
      </c>
    </row>
    <row r="32" spans="1:10" ht="15.75" x14ac:dyDescent="0.25">
      <c r="A32" s="34" t="s">
        <v>22</v>
      </c>
      <c r="B32" s="34"/>
      <c r="C32" s="34" t="s">
        <v>140</v>
      </c>
      <c r="D32" s="35">
        <f>IFERROR(INDEX(BULAN!$A$5:$DK$7000,MATCH($L$1,BULAN!$A$5:$A$11313,0),MATCH(A32,BULAN!$A$5:$DK$5,0)),0)</f>
        <v>0</v>
      </c>
      <c r="E32" s="35"/>
      <c r="G32" s="18" t="s">
        <v>79</v>
      </c>
      <c r="I32" s="34" t="s">
        <v>140</v>
      </c>
      <c r="J32" s="35">
        <f>IFERROR(INDEX(BULAN!$A$5:$DK$7000,MATCH($L$1,BULAN!$A$5:$A$7000,0),MATCH(G32,BULAN!$A$5:$DK$5,0)),0)</f>
        <v>0</v>
      </c>
    </row>
    <row r="33" spans="1:10" ht="15.75" x14ac:dyDescent="0.25">
      <c r="A33" s="34" t="s">
        <v>23</v>
      </c>
      <c r="B33" s="34"/>
      <c r="C33" s="34" t="s">
        <v>140</v>
      </c>
      <c r="D33" s="35">
        <f>IFERROR(INDEX(BULAN!$A$5:$DK$7000,MATCH($L$1,BULAN!$A$5:$A$11313,0),MATCH(A33,BULAN!$A$5:$DK$5,0)),0)</f>
        <v>0</v>
      </c>
      <c r="E33" s="35"/>
      <c r="G33" s="18" t="s">
        <v>82</v>
      </c>
      <c r="I33" s="34" t="s">
        <v>140</v>
      </c>
      <c r="J33" s="35">
        <f>IFERROR(INDEX(BULAN!$A$5:$DK$7000,MATCH($L$1,BULAN!$A$5:$A$7000,0),MATCH(G33,BULAN!$A$5:$DK$5,0)),0)</f>
        <v>0</v>
      </c>
    </row>
    <row r="34" spans="1:10" ht="15.75" x14ac:dyDescent="0.25">
      <c r="A34" s="34" t="s">
        <v>24</v>
      </c>
      <c r="B34" s="34"/>
      <c r="C34" s="34" t="s">
        <v>140</v>
      </c>
      <c r="D34" s="35">
        <f>IFERROR(INDEX(BULAN!$A$5:$DK$7000,MATCH($L$1,BULAN!$A$5:$A$11313,0),MATCH(A34,BULAN!$A$5:$DK$5,0)),0)</f>
        <v>0</v>
      </c>
      <c r="E34" s="35"/>
      <c r="G34" s="18" t="s">
        <v>97</v>
      </c>
      <c r="I34" s="34" t="s">
        <v>140</v>
      </c>
      <c r="J34" s="35">
        <f>IFERROR(INDEX(BULAN!$A$5:$DK$7000,MATCH($L$1,BULAN!$A$5:$A$7000,0),MATCH(G34,BULAN!$A$5:$DK$5,0)),0)</f>
        <v>0</v>
      </c>
    </row>
    <row r="35" spans="1:10" ht="15.75" x14ac:dyDescent="0.25">
      <c r="A35" s="34" t="s">
        <v>26</v>
      </c>
      <c r="B35" s="34"/>
      <c r="C35" s="34" t="s">
        <v>140</v>
      </c>
      <c r="D35" s="35">
        <f>IFERROR(INDEX(BULAN!$A$5:$DK$7000,MATCH($L$1,BULAN!$A$5:$A$11313,0),MATCH(A35,BULAN!$A$5:$DK$5,0)),0)</f>
        <v>0</v>
      </c>
      <c r="E35" s="35"/>
      <c r="G35" s="18" t="s">
        <v>89</v>
      </c>
      <c r="I35" s="34" t="s">
        <v>140</v>
      </c>
      <c r="J35" s="35">
        <f>IFERROR(INDEX(BULAN!$A$5:$DK$7000,MATCH($L$1,BULAN!$A$5:$A$7000,0),MATCH(G35,BULAN!$A$5:$DK$5,0)),0)</f>
        <v>99235</v>
      </c>
    </row>
    <row r="36" spans="1:10" ht="15.75" x14ac:dyDescent="0.25">
      <c r="A36" s="34" t="s">
        <v>27</v>
      </c>
      <c r="B36" s="34"/>
      <c r="C36" s="34" t="s">
        <v>140</v>
      </c>
      <c r="D36" s="35">
        <f>IFERROR(INDEX(BULAN!$A$5:$DK$7000,MATCH($L$1,BULAN!$A$5:$A$11313,0),MATCH(A36,BULAN!$A$5:$DK$5,0)),0)</f>
        <v>0</v>
      </c>
      <c r="E36" s="35"/>
      <c r="G36" s="18" t="s">
        <v>90</v>
      </c>
      <c r="I36" s="34" t="s">
        <v>140</v>
      </c>
      <c r="J36" s="35">
        <f>IFERROR(INDEX(BULAN!$A$5:$DK$7000,MATCH($L$1,BULAN!$A$5:$A$7000,0),MATCH(G36,BULAN!$A$5:$DK$5,0)),0)</f>
        <v>49618</v>
      </c>
    </row>
    <row r="37" spans="1:10" ht="15.75" x14ac:dyDescent="0.25">
      <c r="A37" s="34" t="s">
        <v>28</v>
      </c>
      <c r="B37" s="34"/>
      <c r="C37" s="34" t="s">
        <v>140</v>
      </c>
      <c r="D37" s="35">
        <f>IFERROR(INDEX(BULAN!$A$5:$DK$7000,MATCH($L$1,BULAN!$A$5:$A$11313,0),MATCH(A37,BULAN!$A$5:$DK$5,0)),0)</f>
        <v>0</v>
      </c>
      <c r="E37" s="35"/>
      <c r="G37" s="18" t="s">
        <v>91</v>
      </c>
      <c r="I37" s="34" t="s">
        <v>140</v>
      </c>
      <c r="J37" s="35">
        <f>IFERROR(INDEX(BULAN!$A$5:$DK$7000,MATCH($L$1,BULAN!$A$5:$A$7000,0),MATCH(G37,BULAN!$A$5:$DK$5,0)),0)</f>
        <v>49618</v>
      </c>
    </row>
    <row r="38" spans="1:10" ht="15.75" x14ac:dyDescent="0.25">
      <c r="A38" s="34" t="s">
        <v>29</v>
      </c>
      <c r="B38" s="34"/>
      <c r="C38" s="34" t="s">
        <v>140</v>
      </c>
      <c r="D38" s="35">
        <f>IFERROR(INDEX(BULAN!$A$5:$DK$7000,MATCH($L$1,BULAN!$A$5:$A$11313,0),MATCH(A38,BULAN!$A$5:$DK$5,0)),0)</f>
        <v>0</v>
      </c>
      <c r="E38" s="35"/>
      <c r="G38" s="18" t="s">
        <v>93</v>
      </c>
      <c r="I38" s="34" t="s">
        <v>140</v>
      </c>
      <c r="J38" s="35">
        <f>IFERROR(INDEX(BULAN!$A$5:$DK$7000,MATCH($L$1,BULAN!$A$5:$A$7000,0),MATCH(G38,BULAN!$A$5:$DK$5,0)),0)</f>
        <v>0</v>
      </c>
    </row>
    <row r="39" spans="1:10" ht="15.75" x14ac:dyDescent="0.25">
      <c r="A39" s="34" t="s">
        <v>30</v>
      </c>
      <c r="B39" s="34"/>
      <c r="C39" s="34" t="s">
        <v>140</v>
      </c>
      <c r="D39" s="35">
        <f>IFERROR(INDEX(BULAN!$A$5:$DK$7000,MATCH($L$1,BULAN!$A$5:$A$11313,0),MATCH(A39,BULAN!$A$5:$DK$5,0)),0)</f>
        <v>0</v>
      </c>
      <c r="E39" s="35"/>
      <c r="G39" s="18" t="s">
        <v>95</v>
      </c>
      <c r="I39" s="34" t="s">
        <v>140</v>
      </c>
      <c r="J39" s="35">
        <f>IFERROR(INDEX(BULAN!$A$5:$DK$7000,MATCH($L$1,BULAN!$A$5:$A$7000,0),MATCH(G39,BULAN!$A$5:$DK$5,0)),0)</f>
        <v>0</v>
      </c>
    </row>
    <row r="40" spans="1:10" ht="15.75" x14ac:dyDescent="0.25">
      <c r="A40" s="34" t="s">
        <v>33</v>
      </c>
      <c r="B40" s="34"/>
      <c r="C40" s="34" t="s">
        <v>140</v>
      </c>
      <c r="D40" s="35">
        <f>IFERROR(INDEX(BULAN!$A$5:$DK$7000,MATCH($L$1,BULAN!$A$5:$A$11313,0),MATCH(A40,BULAN!$A$5:$DK$5,0)),0)</f>
        <v>0</v>
      </c>
      <c r="E40" s="35"/>
      <c r="G40" s="18" t="s">
        <v>96</v>
      </c>
      <c r="I40" s="34" t="s">
        <v>140</v>
      </c>
      <c r="J40" s="35">
        <f>IFERROR(INDEX(BULAN!$A$5:$DK$7000,MATCH($L$1,BULAN!$A$5:$A$7000,0),MATCH(G40,BULAN!$A$5:$DK$5,0)),0)</f>
        <v>0</v>
      </c>
    </row>
    <row r="41" spans="1:10" ht="15.75" x14ac:dyDescent="0.25">
      <c r="A41" s="34" t="s">
        <v>34</v>
      </c>
      <c r="B41" s="34"/>
      <c r="C41" s="34" t="s">
        <v>140</v>
      </c>
      <c r="D41" s="35">
        <f>IFERROR(INDEX(BULAN!$A$5:$DK$7000,MATCH($L$1,BULAN!$A$5:$A$11313,0),MATCH(A41,BULAN!$A$5:$DK$5,0)),0)</f>
        <v>0</v>
      </c>
      <c r="E41" s="35"/>
      <c r="G41" s="18" t="s">
        <v>88</v>
      </c>
      <c r="I41" s="34" t="s">
        <v>140</v>
      </c>
      <c r="J41" s="35">
        <f>IFERROR(INDEX(BULAN!$A$5:$DK$7000,MATCH($L$1,BULAN!$A$5:$A$7000,0),MATCH(G41,BULAN!$A$5:$DK$5,0)),0)</f>
        <v>0</v>
      </c>
    </row>
    <row r="42" spans="1:10" ht="16.5" thickBot="1" x14ac:dyDescent="0.3">
      <c r="A42" s="34" t="s">
        <v>37</v>
      </c>
      <c r="B42" s="34"/>
      <c r="C42" s="34" t="s">
        <v>140</v>
      </c>
      <c r="D42" s="35">
        <f>IFERROR(INDEX(BULAN!$A$5:$DK$7000,MATCH($L$1,BULAN!$A$5:$A$11313,0),MATCH(A42,BULAN!$A$5:$DK$5,0)),0)</f>
        <v>0</v>
      </c>
      <c r="E42" s="35"/>
      <c r="G42" s="36" t="s">
        <v>141</v>
      </c>
      <c r="H42" s="37"/>
      <c r="I42" s="38"/>
      <c r="J42" s="39">
        <f>SUM(J21:J41)</f>
        <v>219471</v>
      </c>
    </row>
    <row r="43" spans="1:10" ht="15.75" x14ac:dyDescent="0.25">
      <c r="A43" s="34" t="s">
        <v>39</v>
      </c>
      <c r="B43" s="34"/>
      <c r="C43" s="34" t="s">
        <v>140</v>
      </c>
      <c r="D43" s="35">
        <f>IFERROR(INDEX(BULAN!$A$5:$DK$7000,MATCH($L$1,BULAN!$A$5:$A$11313,0),MATCH(A43,BULAN!$A$5:$DK$5,0)),0)</f>
        <v>0</v>
      </c>
      <c r="E43" s="35"/>
    </row>
    <row r="44" spans="1:10" ht="15.75" x14ac:dyDescent="0.25">
      <c r="A44" s="34" t="s">
        <v>40</v>
      </c>
      <c r="B44" s="34"/>
      <c r="C44" s="34" t="s">
        <v>140</v>
      </c>
      <c r="D44" s="35">
        <f>IFERROR(INDEX(BULAN!$A$5:$DK$7000,MATCH($L$1,BULAN!$A$5:$A$11313,0),MATCH(A44,BULAN!$A$5:$DK$5,0)),0)</f>
        <v>0</v>
      </c>
      <c r="E44" s="35"/>
      <c r="G44" s="32" t="s">
        <v>142</v>
      </c>
      <c r="H44" s="32"/>
      <c r="I44" s="32"/>
    </row>
    <row r="45" spans="1:10" ht="15.75" x14ac:dyDescent="0.25">
      <c r="A45" s="34" t="s">
        <v>44</v>
      </c>
      <c r="B45" s="34"/>
      <c r="C45" s="34" t="s">
        <v>140</v>
      </c>
      <c r="D45" s="35">
        <f>IFERROR(INDEX(BULAN!$A$5:$DK$7000,MATCH($L$1,BULAN!$A$5:$A$11313,0),MATCH(A45,BULAN!$A$5:$DK$5,0)),0)</f>
        <v>0</v>
      </c>
      <c r="E45" s="35"/>
      <c r="G45" s="54" t="s">
        <v>138</v>
      </c>
      <c r="H45" s="54"/>
      <c r="I45" s="54"/>
      <c r="J45" s="55" t="s">
        <v>139</v>
      </c>
    </row>
    <row r="46" spans="1:10" ht="15.75" x14ac:dyDescent="0.25">
      <c r="A46" s="40" t="s">
        <v>42</v>
      </c>
      <c r="C46" s="34" t="s">
        <v>140</v>
      </c>
      <c r="D46" s="35">
        <f>IFERROR(INDEX(BULAN!$A$5:$DK$7000,MATCH($L$1,BULAN!$A$5:$A$11313,0),MATCH(A46,BULAN!$A$5:$DK$5,0)),0)</f>
        <v>0</v>
      </c>
      <c r="E46" s="35"/>
    </row>
    <row r="47" spans="1:10" ht="15.75" x14ac:dyDescent="0.25">
      <c r="A47" s="34" t="s">
        <v>48</v>
      </c>
      <c r="B47" s="34"/>
      <c r="C47" s="34" t="s">
        <v>140</v>
      </c>
      <c r="D47" s="35">
        <f>IFERROR(INDEX(BULAN!$A$5:$DK$7000,MATCH($L$1,BULAN!$A$5:$A$11313,0),MATCH(A47,BULAN!$A$5:$DK$5,0)),0)</f>
        <v>0</v>
      </c>
      <c r="E47" s="35"/>
      <c r="G47" s="18" t="s">
        <v>98</v>
      </c>
      <c r="I47" s="34" t="s">
        <v>140</v>
      </c>
      <c r="J47" s="35">
        <f>IFERROR(INDEX(BULAN!$A$5:$DK$7000,MATCH($L$1,BULAN!$A$5:$A$7000,0),MATCH(G47,BULAN!$A$5:$DK$5,0)),0)</f>
        <v>14885</v>
      </c>
    </row>
    <row r="48" spans="1:10" ht="15" customHeight="1" x14ac:dyDescent="0.25">
      <c r="A48" s="34" t="s">
        <v>54</v>
      </c>
      <c r="B48" s="34"/>
      <c r="C48" s="34" t="s">
        <v>140</v>
      </c>
      <c r="D48" s="35">
        <f>IFERROR(INDEX(BULAN!$A$5:$DK$7000,MATCH($L$1,BULAN!$A$5:$A$11313,0),MATCH(A48,BULAN!$A$5:$DK$5,0)),0)</f>
        <v>0</v>
      </c>
      <c r="E48" s="41"/>
      <c r="G48" s="18" t="s">
        <v>99</v>
      </c>
      <c r="I48" s="34" t="s">
        <v>140</v>
      </c>
      <c r="J48" s="35">
        <f>IFERROR(INDEX(BULAN!$A$5:$DK$7000,MATCH($L$1,BULAN!$A$5:$A$7000,0),MATCH(G48,BULAN!$A$5:$DK$5,0)),0)</f>
        <v>44160</v>
      </c>
    </row>
    <row r="49" spans="1:12" ht="15.75" x14ac:dyDescent="0.25">
      <c r="A49" s="34" t="s">
        <v>59</v>
      </c>
      <c r="B49" s="34"/>
      <c r="C49" s="34" t="s">
        <v>140</v>
      </c>
      <c r="D49" s="35">
        <f>IFERROR(INDEX(BULAN!$A$5:$DK$7000,MATCH($L$1,BULAN!$A$5:$A$11313,0),MATCH(A49,BULAN!$A$5:$DK$5,0)),0)</f>
        <v>0</v>
      </c>
      <c r="G49" s="18" t="s">
        <v>100</v>
      </c>
      <c r="I49" s="34" t="s">
        <v>140</v>
      </c>
      <c r="J49" s="35">
        <f>IFERROR(INDEX(BULAN!$A$5:$DK$7000,MATCH($L$1,BULAN!$A$5:$A$7000,0),MATCH(G49,BULAN!$A$5:$DK$5,0)),0)</f>
        <v>183585</v>
      </c>
    </row>
    <row r="50" spans="1:12" ht="16.5" thickBot="1" x14ac:dyDescent="0.3">
      <c r="A50" s="36" t="s">
        <v>141</v>
      </c>
      <c r="B50" s="38"/>
      <c r="C50" s="38"/>
      <c r="D50" s="42">
        <f>SUM(D21:D49)</f>
        <v>4961753</v>
      </c>
      <c r="G50" s="18" t="s">
        <v>101</v>
      </c>
      <c r="I50" s="34" t="s">
        <v>140</v>
      </c>
      <c r="J50" s="35">
        <f>IFERROR(INDEX(BULAN!$A$5:$DK$7000,MATCH($L$1,BULAN!$A$5:$A$7000,0),MATCH(G50,BULAN!$A$5:$DK$5,0)),0)</f>
        <v>99235</v>
      </c>
    </row>
    <row r="51" spans="1:12" ht="15.75" x14ac:dyDescent="0.25">
      <c r="G51" s="18" t="s">
        <v>102</v>
      </c>
      <c r="I51" s="34" t="s">
        <v>140</v>
      </c>
      <c r="J51" s="35">
        <f>IFERROR(INDEX(BULAN!$A$5:$DK$7000,MATCH($L$1,BULAN!$A$5:$A$7000,0),MATCH(G51,BULAN!$A$5:$DK$5,0)),0)</f>
        <v>198470</v>
      </c>
    </row>
    <row r="52" spans="1:12" ht="15.75" x14ac:dyDescent="0.25">
      <c r="G52" s="18" t="s">
        <v>104</v>
      </c>
      <c r="I52" s="34" t="s">
        <v>140</v>
      </c>
      <c r="J52" s="35">
        <f>IFERROR(INDEX(BULAN!$A$5:$DK$7000,MATCH($L$1,BULAN!$A$5:$A$7000,0),MATCH(G52,BULAN!$A$5:$DK$5,0)),0)</f>
        <v>0</v>
      </c>
    </row>
    <row r="53" spans="1:12" ht="15.75" x14ac:dyDescent="0.25">
      <c r="A53" s="43"/>
      <c r="B53" s="43"/>
      <c r="C53" s="43"/>
      <c r="G53" s="18" t="s">
        <v>105</v>
      </c>
      <c r="I53" s="34" t="s">
        <v>140</v>
      </c>
      <c r="J53" s="35">
        <f>IFERROR(INDEX(BULAN!$A$5:$DK$7000,MATCH($L$1,BULAN!$A$5:$A$7000,0),MATCH(G53,BULAN!$A$5:$DK$5,0)),0)</f>
        <v>0</v>
      </c>
    </row>
    <row r="54" spans="1:12" ht="15.75" x14ac:dyDescent="0.25">
      <c r="A54" s="32"/>
      <c r="B54" s="32"/>
      <c r="C54" s="32"/>
      <c r="E54" s="33"/>
      <c r="G54" s="18" t="s">
        <v>107</v>
      </c>
      <c r="I54" s="34" t="s">
        <v>140</v>
      </c>
      <c r="J54" s="35">
        <f>IFERROR(INDEX(BULAN!$A$5:$DK$7000,MATCH($L$1,BULAN!$A$5:$A$7000,0),MATCH(G54,BULAN!$A$5:$DK$5,0)),0)</f>
        <v>0</v>
      </c>
    </row>
    <row r="55" spans="1:12" ht="15.75" x14ac:dyDescent="0.25">
      <c r="A55" s="44"/>
      <c r="B55" s="44"/>
      <c r="C55" s="44"/>
      <c r="D55" s="33"/>
      <c r="G55" s="18" t="s">
        <v>108</v>
      </c>
      <c r="I55" s="34" t="s">
        <v>140</v>
      </c>
      <c r="J55" s="35">
        <f>IFERROR(INDEX(BULAN!$A$5:$DK$7000,MATCH($L$1,BULAN!$A$5:$A$7000,0),MATCH(G55,BULAN!$A$5:$DK$5,0)),0)</f>
        <v>0</v>
      </c>
    </row>
    <row r="56" spans="1:12" ht="15.75" x14ac:dyDescent="0.25">
      <c r="E56" s="65" t="s">
        <v>143</v>
      </c>
      <c r="F56" s="65"/>
      <c r="I56" s="34"/>
      <c r="J56" s="35"/>
    </row>
    <row r="57" spans="1:12" ht="3.6" customHeight="1" x14ac:dyDescent="0.25"/>
    <row r="58" spans="1:12" ht="15.95" customHeight="1" x14ac:dyDescent="0.25">
      <c r="A58" s="32"/>
      <c r="B58" s="32"/>
      <c r="C58" s="32"/>
      <c r="E58" s="34" t="s">
        <v>140</v>
      </c>
      <c r="F58" s="45">
        <f>D50-J42</f>
        <v>4742282</v>
      </c>
      <c r="L58" s="46"/>
    </row>
    <row r="59" spans="1:12" ht="6.6" customHeight="1" thickBot="1" x14ac:dyDescent="0.3">
      <c r="A59" s="58"/>
      <c r="B59" s="58"/>
      <c r="C59" s="58"/>
      <c r="D59" s="59"/>
      <c r="E59" s="59"/>
      <c r="F59" s="59"/>
      <c r="G59" s="60"/>
      <c r="H59" s="60"/>
      <c r="I59" s="60"/>
      <c r="J59" s="60"/>
    </row>
    <row r="60" spans="1:12" ht="19.899999999999999" customHeight="1" thickTop="1" x14ac:dyDescent="0.2">
      <c r="A60" s="47" t="str">
        <f>"( "&amp;PROPER(IF(F58=0,"nol",IF(F58&lt;0,"minus ","")&amp;
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
IF(--MID(TEXT(ABS(F58),"000000000000000"),1,3)=0,"",MID(TEXT(ABS(F58),"000000000000000"),1,1)&amp;" ratus "&amp;MID(TEXT(ABS(F58),"000000000000000"),2,1)&amp;" puluh "&amp;MID(TEXT(ABS(F58),"000000000000000"),3,1)&amp;" trilyun ")&amp;
IF(--MID(TEXT(ABS(F58),"000000000000000"),4,3)=0,"",MID(TEXT(ABS(F58),"000000000000000"),4,1)&amp;" ratus "&amp;MID(TEXT(ABS(F58),"000000000000000"),5,1)&amp;" puluh "&amp;MID(TEXT(ABS(F58),"000000000000000"),6,1)&amp;" milyar ")&amp;
IF(--MID(TEXT(ABS(F58),"000000000000000"),7,3)=0,"",MID(TEXT(ABS(F58),"000000000000000"),7,1)&amp;" ratus "&amp;MID(TEXT(ABS(F58),"000000000000000"),8,1)&amp;" puluh "&amp;MID(TEXT(ABS(F58),"000000000000000"),9,1)&amp;" juta ")&amp;
IF(--MID(TEXT(ABS(F58),"000000000000000"),10,3)=0,"",IF(--MID(TEXT(ABS(F58),"000000000000000"),10,3)=1,"*",MID(TEXT(ABS(F58),"000000000000000"),10,1)&amp;" ratus "&amp;MID(TEXT(ABS(F58),"000000000000000"),11,1)&amp;" puluh ")&amp;MID(TEXT(ABS(F58),"000000000000000"),12,1)&amp;" ribu ")&amp;
IF(--MID(TEXT(ABS(F58),"000000000000000"),13,3)=0,"",MID(TEXT(ABS(F58),"000000000000000"),13,1)&amp;" ratus "&amp;MID(TEXT(ABS(F58),"000000000000000"),14,1)&amp;" puluh "&amp;MID(TEXT(ABS(F58),"000000000000000"),15,1)),1,"satu"),2,"dua"),3,"tiga"),4,"empat"),5,"lima"),6,"enam"),7,"tujuh"),8,"delapan"),9,"sembilan"),"0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 "," ")&amp;" rupiah"))&amp;" )"</f>
        <v>( Empat Juta Tujuh Ratus Empat Puluh Dua Ribu Dua Ratus Delapan Puluh Dua Rupiah )</v>
      </c>
      <c r="B60" s="24"/>
      <c r="C60" s="24"/>
      <c r="D60" s="24"/>
      <c r="E60" s="24"/>
      <c r="F60" s="24"/>
      <c r="G60" s="24"/>
      <c r="H60" s="24"/>
      <c r="I60" s="24"/>
      <c r="J60" s="24"/>
    </row>
    <row r="62" spans="1:12" ht="15" x14ac:dyDescent="0.25">
      <c r="F62" s="48"/>
    </row>
    <row r="63" spans="1:12" x14ac:dyDescent="0.25">
      <c r="F63" s="49"/>
    </row>
  </sheetData>
  <mergeCells count="3">
    <mergeCell ref="B15:C15"/>
    <mergeCell ref="B16:C16"/>
    <mergeCell ref="E56:F56"/>
  </mergeCells>
  <printOptions horizontalCentered="1"/>
  <pageMargins left="0.11811023622047245" right="0.11811023622047245" top="0.15748031496062992" bottom="0.15748031496062992" header="0.31496062992125984" footer="0.31496062992125984"/>
  <pageSetup paperSize="9" scale="76" fitToHeight="0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F6456E-E80E-4FE3-B295-F3B60A3EDCD0}">
          <x14:formula1>
            <xm:f>BULAN!$A$6:$A$220</xm:f>
          </x14:formula1>
          <xm:sqref>L1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BULAN</vt:lpstr>
      <vt:lpstr>PAYSLIP</vt:lpstr>
      <vt:lpstr>PAYSLIP!Print_Area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Fajrin Fadillah</dc:creator>
  <cp:lastModifiedBy>4040k2010</cp:lastModifiedBy>
  <cp:lastPrinted>2025-08-12T02:26:06Z</cp:lastPrinted>
  <dcterms:created xsi:type="dcterms:W3CDTF">2025-06-25T06:25:58Z</dcterms:created>
  <dcterms:modified xsi:type="dcterms:W3CDTF">2025-08-12T03:26:57Z</dcterms:modified>
</cp:coreProperties>
</file>